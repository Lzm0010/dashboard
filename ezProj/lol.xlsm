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filterPrivacy="1" codeName="ThisWorkbook"/>
  <bookViews>
    <workbookView xWindow="0" yWindow="0" windowWidth="22260" windowHeight="12645"/>
  </bookViews>
  <sheets>
    <sheet name="Notes" sheetId="1" r:id="rId1"/>
    <sheet name="BasicAssumptions" sheetId="2" r:id="rId2"/>
    <sheet name="OperatingAssumptions" sheetId="1192" r:id="rId3"/>
    <sheet name="Inventory" sheetId="1292" r:id="rId4"/>
    <sheet name="SalesDetail" sheetId="1293" r:id="rId5"/>
    <sheet name="CostDetail" sheetId="1294" r:id="rId6"/>
    <sheet name="Employees" sheetId="1295" r:id="rId7"/>
    <sheet name="AssetSchedule" sheetId="1296" r:id="rId8"/>
    <sheet name="LoanSchedule" sheetId="1297" r:id="rId9"/>
    <sheet name="P&amp;L" sheetId="1298" r:id="rId10"/>
    <sheet name="BS" sheetId="1299" r:id="rId11"/>
    <sheet name="CF" sheetId="1300" r:id="rId12"/>
  </sheets>
  <functionGroups builtInGroupCount="18">
    <functionGroup name="xlwings"/>
  </functionGroups>
  <definedNames>
    <definedName name="AccountsPayableRow">BS!$E$35:$P$35</definedName>
    <definedName name="AccumAmortization">BS!$E$20:$P$20</definedName>
    <definedName name="AccumDepreciation">BS!$E$28:$P$28</definedName>
    <definedName name="All_Channels">OperatingAssumptions!$A$3:$B$32</definedName>
    <definedName name="All_Products">OperatingAssumptions!$D$3:$E$114</definedName>
    <definedName name="AllCost">CostDetail!$E$4:$P$22</definedName>
    <definedName name="AllInv">Inventory!$E$4:$P$26</definedName>
    <definedName name="AllProductCost">CostDetail!$E$24:$P$24</definedName>
    <definedName name="AllProductSales">SalesDetail!$E$30:$P$30</definedName>
    <definedName name="AllSales">SalesDetail!$E$4:$P$26</definedName>
    <definedName name="Amortization">AssetSchedule!$E$14:$P$14</definedName>
    <definedName name="Capitalization">OperatingAssumptions!$S$4:$T$22</definedName>
    <definedName name="CapitalStock">BS!$E$43:$P$43</definedName>
    <definedName name="Depreciation">AssetSchedule!$E$7:$P$7</definedName>
    <definedName name="EBITDA">'P&amp;L'!$E$26:$P$26</definedName>
    <definedName name="Employee1">#REF!</definedName>
    <definedName name="Employee2">#REF!</definedName>
    <definedName name="EmployeeBonus">OperatingAssumptions!$G$43:$H$55</definedName>
    <definedName name="Events">#REF!</definedName>
    <definedName name="FixedAssetRow">BS!$E$26:$P$26</definedName>
    <definedName name="FixedExpenses">OperatingAssumptions!$J$4:$K$13</definedName>
    <definedName name="FixedExpPL">'P&amp;L'!$E$14:$P$23</definedName>
    <definedName name="General_Sales_and_Marketing1">OperatingAssumptions!$G$4:$H$9</definedName>
    <definedName name="General_Sales_and_Marketing2">OperatingAssumptions!$G$10:$H$15</definedName>
    <definedName name="General_Sales_and_Marketing3">OperatingAssumptions!$G$16:$H$21</definedName>
    <definedName name="IntangibleAssets">BS!$E$18:$P$18</definedName>
    <definedName name="Interest">LoanSchedule!$C$6:$C$245</definedName>
    <definedName name="InvAdded">Inventory!$E$24:$P$24</definedName>
    <definedName name="Loan">OperatingAssumptions!$S$13:$T$16</definedName>
    <definedName name="LoanBalance">LoanSchedule!$E$5:$E$245</definedName>
    <definedName name="LoanPayable">BS!$E$36:$P$36</definedName>
    <definedName name="Overhead1">OperatingAssumptions!$G$36:$H$41</definedName>
    <definedName name="Overhead2">#REF!</definedName>
    <definedName name="Product1">OperatingAssumptions!$D$4:$E$30</definedName>
    <definedName name="Product2">OperatingAssumptions!$D$32:$E$58</definedName>
    <definedName name="Product3">OperatingAssumptions!$D$60:$E$86</definedName>
    <definedName name="Product4">OperatingAssumptions!$D$88:$E$114</definedName>
    <definedName name="Product5">#REF!</definedName>
    <definedName name="Product6">#REF!</definedName>
    <definedName name="Product7">#REF!</definedName>
    <definedName name="Product8">#REF!</definedName>
    <definedName name="Research_and_Development1">OperatingAssumptions!$G$23:$H$28</definedName>
    <definedName name="Research_and_Development2">OperatingAssumptions!$G$29:$H$34</definedName>
    <definedName name="Stores">OperatingAssumptions!$A$3:$B$12</definedName>
    <definedName name="TotalEmployeeCost">Employees!$C$10:$P$12</definedName>
    <definedName name="TotalInvAddedRow">Inventory!$E$28:$P$28</definedName>
    <definedName name="Website">OperatingAssumptions!$A$23:$B$32</definedName>
    <definedName name="Wholesale">OperatingAssumptions!$A$13:$B$22</definedName>
  </definedNames>
  <calcPr calcId="171027"/>
  <extLst>
    <ext xmlns:x14="http://schemas.microsoft.com/office/spreadsheetml/2009/9/main" uri="{8193D73E-4604-4355-AFF4-8A2333D13BE4}">
      <x14:definedNames>
        <x14:definedName name="acct_pay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all_products_c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all_products_retail_sale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all_products_ws_sale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amortization_am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asset_monthly_co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capital_stock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hange_in_a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depr_am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mployee_co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nd_change_in_b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xed_asse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xed_expens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ws_pric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int_am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intangible_asse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inv_cost_adde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ventor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loan_pay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onthly_cost_per_produ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maining_unit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tail_uni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tained_earning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tarting_units">
          <x14:argumentDescriptions count="1">
            <x14:argumentDescription index="0">Positional argument 1</x14:argumentDescription>
          </x14:argumentDescriptions>
        </x14:definedName>
        <x14:definedName name="tax_and_benefit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otal_co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otal_incom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otal_inventory_cost_adde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otal_sal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units_added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units_sold_channel_method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units_sold_sales_metho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holesale_unit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299" l="1"/>
  <c r="F5" i="1299"/>
  <c r="G5" i="1299"/>
  <c r="H5" i="1299"/>
  <c r="I5" i="1299"/>
  <c r="J5" i="1299"/>
  <c r="K5" i="1299"/>
  <c r="L5" i="1299"/>
  <c r="M5" i="1299"/>
  <c r="N5" i="1299"/>
  <c r="O5" i="1299"/>
  <c r="P5" i="1299"/>
  <c r="E36" i="1300"/>
  <c r="E28" i="1300"/>
  <c r="F28" i="1300"/>
  <c r="G28" i="1300"/>
  <c r="H28" i="1300"/>
  <c r="I28" i="1300"/>
  <c r="J28" i="1300"/>
  <c r="K28" i="1300"/>
  <c r="L28" i="1300"/>
  <c r="M28" i="1300"/>
  <c r="N28" i="1300"/>
  <c r="O28" i="1300"/>
  <c r="P28" i="1300"/>
  <c r="E23" i="1300"/>
  <c r="F23" i="1300"/>
  <c r="G23" i="1300"/>
  <c r="H23" i="1300"/>
  <c r="I23" i="1300"/>
  <c r="J23" i="1300"/>
  <c r="K23" i="1300"/>
  <c r="L23" i="1300"/>
  <c r="M23" i="1300"/>
  <c r="N23" i="1300"/>
  <c r="O23" i="1300"/>
  <c r="P23" i="1300"/>
  <c r="E18" i="1300"/>
  <c r="F18" i="1300"/>
  <c r="G18" i="1300"/>
  <c r="H18" i="1300"/>
  <c r="I18" i="1300"/>
  <c r="J18" i="1300"/>
  <c r="K18" i="1300"/>
  <c r="L18" i="1300"/>
  <c r="M18" i="1300"/>
  <c r="N18" i="1300"/>
  <c r="O18" i="1300"/>
  <c r="P18" i="1300"/>
  <c r="E16" i="1300"/>
  <c r="F16" i="1300"/>
  <c r="G16" i="1300"/>
  <c r="H16" i="1300"/>
  <c r="I16" i="1300"/>
  <c r="J16" i="1300"/>
  <c r="K16" i="1300"/>
  <c r="L16" i="1300"/>
  <c r="M16" i="1300"/>
  <c r="N16" i="1300"/>
  <c r="O16" i="1300"/>
  <c r="P16" i="1300"/>
  <c r="F14" i="1300"/>
  <c r="G14" i="1300"/>
  <c r="H14" i="1300"/>
  <c r="I14" i="1300"/>
  <c r="J14" i="1300"/>
  <c r="K14" i="1300"/>
  <c r="L14" i="1300"/>
  <c r="M14" i="1300"/>
  <c r="N14" i="1300"/>
  <c r="O14" i="1300"/>
  <c r="P14" i="1300"/>
  <c r="E14" i="1300"/>
  <c r="E9" i="1300"/>
  <c r="F9" i="1300"/>
  <c r="G9" i="1300"/>
  <c r="H9" i="1300"/>
  <c r="I9" i="1300"/>
  <c r="J9" i="1300"/>
  <c r="K9" i="1300"/>
  <c r="L9" i="1300"/>
  <c r="M9" i="1300"/>
  <c r="N9" i="1300"/>
  <c r="O9" i="1300"/>
  <c r="P9" i="1300"/>
  <c r="F8" i="1300"/>
  <c r="G8" i="1300"/>
  <c r="H8" i="1300"/>
  <c r="I8" i="1300"/>
  <c r="J8" i="1300"/>
  <c r="K8" i="1300"/>
  <c r="L8" i="1300"/>
  <c r="M8" i="1300"/>
  <c r="N8" i="1300"/>
  <c r="O8" i="1300"/>
  <c r="P8" i="1300"/>
  <c r="E8" i="1300"/>
  <c r="E7" i="1300"/>
  <c r="F7" i="1300"/>
  <c r="G7" i="1300"/>
  <c r="H7" i="1300"/>
  <c r="I7" i="1300"/>
  <c r="J7" i="1300"/>
  <c r="K7" i="1300"/>
  <c r="L7" i="1300"/>
  <c r="M7" i="1300"/>
  <c r="N7" i="1300"/>
  <c r="O7" i="1300"/>
  <c r="P7" i="1300"/>
  <c r="F4" i="1300"/>
  <c r="F36" i="1300" s="1"/>
  <c r="G4" i="1300" s="1"/>
  <c r="G36" i="1300" s="1"/>
  <c r="H4" i="1300" s="1"/>
  <c r="H36" i="1300" s="1"/>
  <c r="I4" i="1300" s="1"/>
  <c r="I36" i="1300" s="1"/>
  <c r="J4" i="1300" s="1"/>
  <c r="J36" i="1300" s="1"/>
  <c r="K4" i="1300" s="1"/>
  <c r="K36" i="1300" s="1"/>
  <c r="L4" i="1300" s="1"/>
  <c r="L36" i="1300" s="1"/>
  <c r="M4" i="1300" s="1"/>
  <c r="M36" i="1300" s="1"/>
  <c r="N4" i="1300" s="1"/>
  <c r="N36" i="1300" s="1"/>
  <c r="O4" i="1300" s="1"/>
  <c r="O36" i="1300" s="1"/>
  <c r="P4" i="1300" s="1"/>
  <c r="P36" i="1300" s="1"/>
  <c r="E47" i="1299"/>
  <c r="F47" i="1299"/>
  <c r="G47" i="1299"/>
  <c r="H47" i="1299"/>
  <c r="I47" i="1299"/>
  <c r="J47" i="1299"/>
  <c r="K47" i="1299"/>
  <c r="L47" i="1299"/>
  <c r="M47" i="1299"/>
  <c r="N47" i="1299"/>
  <c r="O47" i="1299"/>
  <c r="P47" i="1299"/>
  <c r="E45" i="1299"/>
  <c r="F45" i="1299"/>
  <c r="G45" i="1299"/>
  <c r="H45" i="1299"/>
  <c r="I45" i="1299"/>
  <c r="J45" i="1299"/>
  <c r="K45" i="1299"/>
  <c r="L45" i="1299"/>
  <c r="M45" i="1299"/>
  <c r="N45" i="1299"/>
  <c r="O45" i="1299"/>
  <c r="P45" i="1299"/>
  <c r="E40" i="1299"/>
  <c r="F40" i="1299"/>
  <c r="G40" i="1299"/>
  <c r="H40" i="1299"/>
  <c r="I40" i="1299"/>
  <c r="J40" i="1299"/>
  <c r="K40" i="1299"/>
  <c r="L40" i="1299"/>
  <c r="M40" i="1299"/>
  <c r="N40" i="1299"/>
  <c r="O40" i="1299"/>
  <c r="P40" i="1299"/>
  <c r="E26" i="1299"/>
  <c r="F26" i="1299"/>
  <c r="G26" i="1299"/>
  <c r="H26" i="1299"/>
  <c r="I26" i="1299"/>
  <c r="J26" i="1299"/>
  <c r="K26" i="1299"/>
  <c r="L26" i="1299"/>
  <c r="M26" i="1299"/>
  <c r="N26" i="1299"/>
  <c r="O26" i="1299"/>
  <c r="P26" i="1299"/>
  <c r="E25" i="1299"/>
  <c r="F25" i="1299"/>
  <c r="G25" i="1299"/>
  <c r="H25" i="1299"/>
  <c r="I25" i="1299"/>
  <c r="J25" i="1299"/>
  <c r="K25" i="1299"/>
  <c r="L25" i="1299"/>
  <c r="M25" i="1299"/>
  <c r="N25" i="1299"/>
  <c r="O25" i="1299"/>
  <c r="P25" i="1299"/>
  <c r="C25" i="1299"/>
  <c r="E24" i="1299"/>
  <c r="F24" i="1299"/>
  <c r="G24" i="1299"/>
  <c r="H24" i="1299"/>
  <c r="I24" i="1299"/>
  <c r="J24" i="1299"/>
  <c r="K24" i="1299"/>
  <c r="L24" i="1299"/>
  <c r="M24" i="1299"/>
  <c r="N24" i="1299"/>
  <c r="O24" i="1299"/>
  <c r="P24" i="1299"/>
  <c r="C24" i="1299"/>
  <c r="E23" i="1299"/>
  <c r="F23" i="1299"/>
  <c r="G23" i="1299"/>
  <c r="H23" i="1299"/>
  <c r="I23" i="1299"/>
  <c r="J23" i="1299"/>
  <c r="K23" i="1299"/>
  <c r="L23" i="1299"/>
  <c r="M23" i="1299"/>
  <c r="N23" i="1299"/>
  <c r="O23" i="1299"/>
  <c r="P23" i="1299"/>
  <c r="C23" i="1299"/>
  <c r="E18" i="1299"/>
  <c r="F18" i="1299"/>
  <c r="G18" i="1299"/>
  <c r="H18" i="1299"/>
  <c r="I18" i="1299"/>
  <c r="J18" i="1299"/>
  <c r="K18" i="1299"/>
  <c r="L18" i="1299"/>
  <c r="M18" i="1299"/>
  <c r="N18" i="1299"/>
  <c r="O18" i="1299"/>
  <c r="P18" i="1299"/>
  <c r="E17" i="1299"/>
  <c r="F17" i="1299"/>
  <c r="G17" i="1299"/>
  <c r="H17" i="1299"/>
  <c r="I17" i="1299"/>
  <c r="J17" i="1299"/>
  <c r="K17" i="1299"/>
  <c r="L17" i="1299"/>
  <c r="M17" i="1299"/>
  <c r="N17" i="1299"/>
  <c r="O17" i="1299"/>
  <c r="P17" i="1299"/>
  <c r="C17" i="1299"/>
  <c r="E16" i="1299"/>
  <c r="F16" i="1299"/>
  <c r="G16" i="1299"/>
  <c r="H16" i="1299"/>
  <c r="I16" i="1299"/>
  <c r="J16" i="1299"/>
  <c r="K16" i="1299"/>
  <c r="L16" i="1299"/>
  <c r="M16" i="1299"/>
  <c r="N16" i="1299"/>
  <c r="O16" i="1299"/>
  <c r="P16" i="1299"/>
  <c r="C16" i="1299"/>
  <c r="E15" i="1299"/>
  <c r="F15" i="1299"/>
  <c r="G15" i="1299"/>
  <c r="H15" i="1299"/>
  <c r="I15" i="1299"/>
  <c r="J15" i="1299"/>
  <c r="K15" i="1299"/>
  <c r="L15" i="1299"/>
  <c r="M15" i="1299"/>
  <c r="N15" i="1299"/>
  <c r="O15" i="1299"/>
  <c r="P15" i="1299"/>
  <c r="C15" i="1299"/>
  <c r="E14" i="1299"/>
  <c r="F14" i="1299"/>
  <c r="G14" i="1299"/>
  <c r="H14" i="1299"/>
  <c r="I14" i="1299"/>
  <c r="J14" i="1299"/>
  <c r="K14" i="1299"/>
  <c r="L14" i="1299"/>
  <c r="M14" i="1299"/>
  <c r="N14" i="1299"/>
  <c r="O14" i="1299"/>
  <c r="P14" i="1299"/>
  <c r="C14" i="1299"/>
  <c r="E11" i="1299"/>
  <c r="E30" i="1299" s="1"/>
  <c r="F11" i="1299"/>
  <c r="F30" i="1299" s="1"/>
  <c r="G11" i="1299"/>
  <c r="G30" i="1299" s="1"/>
  <c r="H11" i="1299"/>
  <c r="H30" i="1299" s="1"/>
  <c r="I11" i="1299"/>
  <c r="I30" i="1299" s="1"/>
  <c r="J11" i="1299"/>
  <c r="J30" i="1299" s="1"/>
  <c r="K11" i="1299"/>
  <c r="K30" i="1299" s="1"/>
  <c r="L11" i="1299"/>
  <c r="L30" i="1299" s="1"/>
  <c r="M11" i="1299"/>
  <c r="M30" i="1299" s="1"/>
  <c r="N11" i="1299"/>
  <c r="N30" i="1299" s="1"/>
  <c r="O11" i="1299"/>
  <c r="O30" i="1299" s="1"/>
  <c r="P11" i="1299"/>
  <c r="P30" i="1299" s="1"/>
  <c r="E6" i="1299"/>
  <c r="F6" i="1299"/>
  <c r="G6" i="1299"/>
  <c r="H6" i="1299"/>
  <c r="I6" i="1299"/>
  <c r="J6" i="1299"/>
  <c r="K6" i="1299"/>
  <c r="L6" i="1299"/>
  <c r="M6" i="1299"/>
  <c r="N6" i="1299"/>
  <c r="O6" i="1299"/>
  <c r="P6" i="1299"/>
  <c r="E36" i="1298"/>
  <c r="F36" i="1298"/>
  <c r="G36" i="1298"/>
  <c r="H36" i="1298"/>
  <c r="I36" i="1298"/>
  <c r="J36" i="1298"/>
  <c r="K36" i="1298"/>
  <c r="L36" i="1298"/>
  <c r="M36" i="1298"/>
  <c r="N36" i="1298"/>
  <c r="O36" i="1298"/>
  <c r="P36" i="1298"/>
  <c r="E34" i="1298"/>
  <c r="F34" i="1298"/>
  <c r="G34" i="1298"/>
  <c r="H34" i="1298"/>
  <c r="I34" i="1298"/>
  <c r="J34" i="1298"/>
  <c r="K34" i="1298"/>
  <c r="L34" i="1298"/>
  <c r="M34" i="1298"/>
  <c r="N34" i="1298"/>
  <c r="O34" i="1298"/>
  <c r="P34" i="1298"/>
  <c r="E26" i="1298"/>
  <c r="F26" i="1298"/>
  <c r="G26" i="1298"/>
  <c r="H26" i="1298"/>
  <c r="I26" i="1298"/>
  <c r="J26" i="1298"/>
  <c r="K26" i="1298"/>
  <c r="L26" i="1298"/>
  <c r="M26" i="1298"/>
  <c r="N26" i="1298"/>
  <c r="O26" i="1298"/>
  <c r="P26" i="1298"/>
  <c r="E24" i="1298"/>
  <c r="F24" i="1298"/>
  <c r="G24" i="1298"/>
  <c r="H24" i="1298"/>
  <c r="I24" i="1298"/>
  <c r="J24" i="1298"/>
  <c r="K24" i="1298"/>
  <c r="L24" i="1298"/>
  <c r="M24" i="1298"/>
  <c r="N24" i="1298"/>
  <c r="O24" i="1298"/>
  <c r="P24" i="1298"/>
  <c r="E8" i="1298"/>
  <c r="F8" i="1298"/>
  <c r="G8" i="1298"/>
  <c r="H8" i="1298"/>
  <c r="I8" i="1298"/>
  <c r="J8" i="1298"/>
  <c r="K8" i="1298"/>
  <c r="L8" i="1298"/>
  <c r="M8" i="1298"/>
  <c r="N8" i="1298"/>
  <c r="O8" i="1298"/>
  <c r="P8" i="1298"/>
  <c r="E245" i="1297"/>
  <c r="D245" i="1297"/>
  <c r="C245" i="1297"/>
  <c r="B245" i="1297"/>
  <c r="F245" i="1297"/>
  <c r="E244" i="1297"/>
  <c r="D244" i="1297"/>
  <c r="C244" i="1297"/>
  <c r="B244" i="1297"/>
  <c r="F244" i="1297"/>
  <c r="E243" i="1297"/>
  <c r="D243" i="1297"/>
  <c r="C243" i="1297"/>
  <c r="B243" i="1297"/>
  <c r="F243" i="1297"/>
  <c r="E242" i="1297"/>
  <c r="D242" i="1297"/>
  <c r="C242" i="1297"/>
  <c r="B242" i="1297"/>
  <c r="F242" i="1297"/>
  <c r="E241" i="1297"/>
  <c r="D241" i="1297"/>
  <c r="C241" i="1297"/>
  <c r="B241" i="1297"/>
  <c r="F241" i="1297"/>
  <c r="E240" i="1297"/>
  <c r="D240" i="1297"/>
  <c r="C240" i="1297"/>
  <c r="B240" i="1297"/>
  <c r="F240" i="1297"/>
  <c r="E239" i="1297"/>
  <c r="D239" i="1297"/>
  <c r="C239" i="1297"/>
  <c r="B239" i="1297"/>
  <c r="F239" i="1297"/>
  <c r="E238" i="1297"/>
  <c r="D238" i="1297"/>
  <c r="C238" i="1297"/>
  <c r="B238" i="1297"/>
  <c r="F238" i="1297"/>
  <c r="E237" i="1297"/>
  <c r="D237" i="1297"/>
  <c r="C237" i="1297"/>
  <c r="B237" i="1297"/>
  <c r="F237" i="1297"/>
  <c r="E236" i="1297"/>
  <c r="D236" i="1297"/>
  <c r="C236" i="1297"/>
  <c r="B236" i="1297"/>
  <c r="F236" i="1297"/>
  <c r="E235" i="1297"/>
  <c r="D235" i="1297"/>
  <c r="C235" i="1297"/>
  <c r="B235" i="1297"/>
  <c r="F235" i="1297"/>
  <c r="E234" i="1297"/>
  <c r="D234" i="1297"/>
  <c r="C234" i="1297"/>
  <c r="B234" i="1297"/>
  <c r="F234" i="1297"/>
  <c r="E233" i="1297"/>
  <c r="D233" i="1297"/>
  <c r="C233" i="1297"/>
  <c r="B233" i="1297"/>
  <c r="F233" i="1297"/>
  <c r="E232" i="1297"/>
  <c r="D232" i="1297"/>
  <c r="C232" i="1297"/>
  <c r="B232" i="1297"/>
  <c r="F232" i="1297"/>
  <c r="E231" i="1297"/>
  <c r="D231" i="1297"/>
  <c r="C231" i="1297"/>
  <c r="B231" i="1297"/>
  <c r="F231" i="1297"/>
  <c r="E230" i="1297"/>
  <c r="D230" i="1297"/>
  <c r="C230" i="1297"/>
  <c r="B230" i="1297"/>
  <c r="F230" i="1297"/>
  <c r="E229" i="1297"/>
  <c r="D229" i="1297"/>
  <c r="C229" i="1297"/>
  <c r="B229" i="1297"/>
  <c r="F229" i="1297"/>
  <c r="E228" i="1297"/>
  <c r="D228" i="1297"/>
  <c r="C228" i="1297"/>
  <c r="B228" i="1297"/>
  <c r="F228" i="1297"/>
  <c r="E227" i="1297"/>
  <c r="D227" i="1297"/>
  <c r="C227" i="1297"/>
  <c r="B227" i="1297"/>
  <c r="F227" i="1297"/>
  <c r="E226" i="1297"/>
  <c r="D226" i="1297"/>
  <c r="C226" i="1297"/>
  <c r="B226" i="1297"/>
  <c r="F226" i="1297"/>
  <c r="E225" i="1297"/>
  <c r="D225" i="1297"/>
  <c r="C225" i="1297"/>
  <c r="B225" i="1297"/>
  <c r="F225" i="1297"/>
  <c r="E224" i="1297"/>
  <c r="D224" i="1297"/>
  <c r="C224" i="1297"/>
  <c r="B224" i="1297"/>
  <c r="F224" i="1297"/>
  <c r="E223" i="1297"/>
  <c r="D223" i="1297"/>
  <c r="C223" i="1297"/>
  <c r="B223" i="1297"/>
  <c r="F223" i="1297"/>
  <c r="E222" i="1297"/>
  <c r="D222" i="1297"/>
  <c r="C222" i="1297"/>
  <c r="B222" i="1297"/>
  <c r="F222" i="1297"/>
  <c r="E221" i="1297"/>
  <c r="D221" i="1297"/>
  <c r="C221" i="1297"/>
  <c r="B221" i="1297"/>
  <c r="F221" i="1297"/>
  <c r="E220" i="1297"/>
  <c r="D220" i="1297"/>
  <c r="C220" i="1297"/>
  <c r="B220" i="1297"/>
  <c r="F220" i="1297"/>
  <c r="E219" i="1297"/>
  <c r="D219" i="1297"/>
  <c r="C219" i="1297"/>
  <c r="B219" i="1297"/>
  <c r="F219" i="1297"/>
  <c r="E218" i="1297"/>
  <c r="D218" i="1297"/>
  <c r="C218" i="1297"/>
  <c r="B218" i="1297"/>
  <c r="F218" i="1297"/>
  <c r="E217" i="1297"/>
  <c r="D217" i="1297"/>
  <c r="C217" i="1297"/>
  <c r="B217" i="1297"/>
  <c r="F217" i="1297"/>
  <c r="E216" i="1297"/>
  <c r="D216" i="1297"/>
  <c r="C216" i="1297"/>
  <c r="B216" i="1297"/>
  <c r="F216" i="1297"/>
  <c r="E215" i="1297"/>
  <c r="D215" i="1297"/>
  <c r="C215" i="1297"/>
  <c r="B215" i="1297"/>
  <c r="F215" i="1297"/>
  <c r="E214" i="1297"/>
  <c r="D214" i="1297"/>
  <c r="C214" i="1297"/>
  <c r="B214" i="1297"/>
  <c r="F214" i="1297"/>
  <c r="E213" i="1297"/>
  <c r="D213" i="1297"/>
  <c r="C213" i="1297"/>
  <c r="B213" i="1297"/>
  <c r="F213" i="1297"/>
  <c r="E212" i="1297"/>
  <c r="D212" i="1297"/>
  <c r="C212" i="1297"/>
  <c r="B212" i="1297"/>
  <c r="F212" i="1297"/>
  <c r="E211" i="1297"/>
  <c r="D211" i="1297"/>
  <c r="C211" i="1297"/>
  <c r="B211" i="1297"/>
  <c r="F211" i="1297"/>
  <c r="E210" i="1297"/>
  <c r="D210" i="1297"/>
  <c r="C210" i="1297"/>
  <c r="B210" i="1297"/>
  <c r="F210" i="1297"/>
  <c r="E209" i="1297"/>
  <c r="D209" i="1297"/>
  <c r="C209" i="1297"/>
  <c r="B209" i="1297"/>
  <c r="F209" i="1297"/>
  <c r="E208" i="1297"/>
  <c r="D208" i="1297"/>
  <c r="C208" i="1297"/>
  <c r="B208" i="1297"/>
  <c r="F208" i="1297"/>
  <c r="E207" i="1297"/>
  <c r="D207" i="1297"/>
  <c r="C207" i="1297"/>
  <c r="B207" i="1297"/>
  <c r="F207" i="1297"/>
  <c r="E206" i="1297"/>
  <c r="D206" i="1297"/>
  <c r="C206" i="1297"/>
  <c r="B206" i="1297"/>
  <c r="F206" i="1297"/>
  <c r="E205" i="1297"/>
  <c r="D205" i="1297"/>
  <c r="C205" i="1297"/>
  <c r="B205" i="1297"/>
  <c r="F205" i="1297"/>
  <c r="E204" i="1297"/>
  <c r="D204" i="1297"/>
  <c r="C204" i="1297"/>
  <c r="B204" i="1297"/>
  <c r="F204" i="1297"/>
  <c r="E203" i="1297"/>
  <c r="D203" i="1297"/>
  <c r="C203" i="1297"/>
  <c r="B203" i="1297"/>
  <c r="F203" i="1297"/>
  <c r="E202" i="1297"/>
  <c r="D202" i="1297"/>
  <c r="C202" i="1297"/>
  <c r="B202" i="1297"/>
  <c r="F202" i="1297"/>
  <c r="E201" i="1297"/>
  <c r="D201" i="1297"/>
  <c r="C201" i="1297"/>
  <c r="B201" i="1297"/>
  <c r="F201" i="1297"/>
  <c r="E200" i="1297"/>
  <c r="D200" i="1297"/>
  <c r="C200" i="1297"/>
  <c r="B200" i="1297"/>
  <c r="F200" i="1297"/>
  <c r="E199" i="1297"/>
  <c r="D199" i="1297"/>
  <c r="C199" i="1297"/>
  <c r="B199" i="1297"/>
  <c r="F199" i="1297"/>
  <c r="E198" i="1297"/>
  <c r="D198" i="1297"/>
  <c r="C198" i="1297"/>
  <c r="B198" i="1297"/>
  <c r="F198" i="1297"/>
  <c r="E197" i="1297"/>
  <c r="D197" i="1297"/>
  <c r="C197" i="1297"/>
  <c r="B197" i="1297"/>
  <c r="F197" i="1297"/>
  <c r="E196" i="1297"/>
  <c r="D196" i="1297"/>
  <c r="C196" i="1297"/>
  <c r="B196" i="1297"/>
  <c r="F196" i="1297"/>
  <c r="E195" i="1297"/>
  <c r="D195" i="1297"/>
  <c r="C195" i="1297"/>
  <c r="B195" i="1297"/>
  <c r="F195" i="1297"/>
  <c r="E194" i="1297"/>
  <c r="D194" i="1297"/>
  <c r="C194" i="1297"/>
  <c r="B194" i="1297"/>
  <c r="F194" i="1297"/>
  <c r="E193" i="1297"/>
  <c r="D193" i="1297"/>
  <c r="C193" i="1297"/>
  <c r="B193" i="1297"/>
  <c r="F193" i="1297"/>
  <c r="E192" i="1297"/>
  <c r="D192" i="1297"/>
  <c r="C192" i="1297"/>
  <c r="B192" i="1297"/>
  <c r="F192" i="1297"/>
  <c r="E191" i="1297"/>
  <c r="D191" i="1297"/>
  <c r="C191" i="1297"/>
  <c r="B191" i="1297"/>
  <c r="F191" i="1297"/>
  <c r="E190" i="1297"/>
  <c r="D190" i="1297"/>
  <c r="C190" i="1297"/>
  <c r="B190" i="1297"/>
  <c r="F190" i="1297"/>
  <c r="E189" i="1297"/>
  <c r="D189" i="1297"/>
  <c r="C189" i="1297"/>
  <c r="B189" i="1297"/>
  <c r="F189" i="1297"/>
  <c r="E188" i="1297"/>
  <c r="D188" i="1297"/>
  <c r="C188" i="1297"/>
  <c r="B188" i="1297"/>
  <c r="F188" i="1297"/>
  <c r="E187" i="1297"/>
  <c r="D187" i="1297"/>
  <c r="C187" i="1297"/>
  <c r="B187" i="1297"/>
  <c r="F187" i="1297"/>
  <c r="E186" i="1297"/>
  <c r="D186" i="1297"/>
  <c r="C186" i="1297"/>
  <c r="B186" i="1297"/>
  <c r="F186" i="1297"/>
  <c r="E185" i="1297"/>
  <c r="D185" i="1297"/>
  <c r="C185" i="1297"/>
  <c r="B185" i="1297"/>
  <c r="F185" i="1297"/>
  <c r="E184" i="1297"/>
  <c r="D184" i="1297"/>
  <c r="C184" i="1297"/>
  <c r="B184" i="1297"/>
  <c r="F184" i="1297"/>
  <c r="E183" i="1297"/>
  <c r="D183" i="1297"/>
  <c r="C183" i="1297"/>
  <c r="B183" i="1297"/>
  <c r="F183" i="1297"/>
  <c r="E182" i="1297"/>
  <c r="D182" i="1297"/>
  <c r="C182" i="1297"/>
  <c r="B182" i="1297"/>
  <c r="F182" i="1297"/>
  <c r="E181" i="1297"/>
  <c r="D181" i="1297"/>
  <c r="C181" i="1297"/>
  <c r="B181" i="1297"/>
  <c r="F181" i="1297"/>
  <c r="E180" i="1297"/>
  <c r="D180" i="1297"/>
  <c r="C180" i="1297"/>
  <c r="B180" i="1297"/>
  <c r="F180" i="1297"/>
  <c r="E179" i="1297"/>
  <c r="D179" i="1297"/>
  <c r="C179" i="1297"/>
  <c r="B179" i="1297"/>
  <c r="F179" i="1297"/>
  <c r="E178" i="1297"/>
  <c r="D178" i="1297"/>
  <c r="C178" i="1297"/>
  <c r="B178" i="1297"/>
  <c r="F178" i="1297"/>
  <c r="E177" i="1297"/>
  <c r="D177" i="1297"/>
  <c r="C177" i="1297"/>
  <c r="B177" i="1297"/>
  <c r="F177" i="1297"/>
  <c r="E176" i="1297"/>
  <c r="D176" i="1297"/>
  <c r="C176" i="1297"/>
  <c r="B176" i="1297"/>
  <c r="F176" i="1297"/>
  <c r="E175" i="1297"/>
  <c r="D175" i="1297"/>
  <c r="C175" i="1297"/>
  <c r="B175" i="1297"/>
  <c r="F175" i="1297"/>
  <c r="E174" i="1297"/>
  <c r="D174" i="1297"/>
  <c r="C174" i="1297"/>
  <c r="B174" i="1297"/>
  <c r="F174" i="1297"/>
  <c r="E173" i="1297"/>
  <c r="D173" i="1297"/>
  <c r="C173" i="1297"/>
  <c r="B173" i="1297"/>
  <c r="F173" i="1297"/>
  <c r="E172" i="1297"/>
  <c r="D172" i="1297"/>
  <c r="C172" i="1297"/>
  <c r="B172" i="1297"/>
  <c r="F172" i="1297"/>
  <c r="E171" i="1297"/>
  <c r="D171" i="1297"/>
  <c r="C171" i="1297"/>
  <c r="B171" i="1297"/>
  <c r="F171" i="1297"/>
  <c r="E170" i="1297"/>
  <c r="D170" i="1297"/>
  <c r="C170" i="1297"/>
  <c r="B170" i="1297"/>
  <c r="F170" i="1297"/>
  <c r="E169" i="1297"/>
  <c r="D169" i="1297"/>
  <c r="C169" i="1297"/>
  <c r="B169" i="1297"/>
  <c r="F169" i="1297"/>
  <c r="E168" i="1297"/>
  <c r="D168" i="1297"/>
  <c r="C168" i="1297"/>
  <c r="B168" i="1297"/>
  <c r="F168" i="1297"/>
  <c r="E167" i="1297"/>
  <c r="D167" i="1297"/>
  <c r="C167" i="1297"/>
  <c r="B167" i="1297"/>
  <c r="F167" i="1297"/>
  <c r="E166" i="1297"/>
  <c r="D166" i="1297"/>
  <c r="C166" i="1297"/>
  <c r="B166" i="1297"/>
  <c r="F166" i="1297"/>
  <c r="E165" i="1297"/>
  <c r="D165" i="1297"/>
  <c r="C165" i="1297"/>
  <c r="B165" i="1297"/>
  <c r="F165" i="1297"/>
  <c r="E164" i="1297"/>
  <c r="D164" i="1297"/>
  <c r="C164" i="1297"/>
  <c r="B164" i="1297"/>
  <c r="F164" i="1297"/>
  <c r="E163" i="1297"/>
  <c r="D163" i="1297"/>
  <c r="C163" i="1297"/>
  <c r="B163" i="1297"/>
  <c r="F163" i="1297"/>
  <c r="E162" i="1297"/>
  <c r="D162" i="1297"/>
  <c r="C162" i="1297"/>
  <c r="B162" i="1297"/>
  <c r="F162" i="1297"/>
  <c r="E161" i="1297"/>
  <c r="D161" i="1297"/>
  <c r="C161" i="1297"/>
  <c r="B161" i="1297"/>
  <c r="F161" i="1297"/>
  <c r="E160" i="1297"/>
  <c r="D160" i="1297"/>
  <c r="C160" i="1297"/>
  <c r="B160" i="1297"/>
  <c r="F160" i="1297"/>
  <c r="E159" i="1297"/>
  <c r="D159" i="1297"/>
  <c r="C159" i="1297"/>
  <c r="B159" i="1297"/>
  <c r="F159" i="1297"/>
  <c r="E158" i="1297"/>
  <c r="D158" i="1297"/>
  <c r="C158" i="1297"/>
  <c r="B158" i="1297"/>
  <c r="F158" i="1297"/>
  <c r="E157" i="1297"/>
  <c r="D157" i="1297"/>
  <c r="C157" i="1297"/>
  <c r="B157" i="1297"/>
  <c r="F157" i="1297"/>
  <c r="E156" i="1297"/>
  <c r="D156" i="1297"/>
  <c r="C156" i="1297"/>
  <c r="B156" i="1297"/>
  <c r="F156" i="1297"/>
  <c r="E155" i="1297"/>
  <c r="D155" i="1297"/>
  <c r="C155" i="1297"/>
  <c r="B155" i="1297"/>
  <c r="F155" i="1297"/>
  <c r="E154" i="1297"/>
  <c r="D154" i="1297"/>
  <c r="C154" i="1297"/>
  <c r="B154" i="1297"/>
  <c r="F154" i="1297"/>
  <c r="E153" i="1297"/>
  <c r="D153" i="1297"/>
  <c r="C153" i="1297"/>
  <c r="B153" i="1297"/>
  <c r="F153" i="1297"/>
  <c r="E152" i="1297"/>
  <c r="D152" i="1297"/>
  <c r="C152" i="1297"/>
  <c r="B152" i="1297"/>
  <c r="F152" i="1297"/>
  <c r="E151" i="1297"/>
  <c r="D151" i="1297"/>
  <c r="C151" i="1297"/>
  <c r="B151" i="1297"/>
  <c r="F151" i="1297"/>
  <c r="E150" i="1297"/>
  <c r="D150" i="1297"/>
  <c r="C150" i="1297"/>
  <c r="B150" i="1297"/>
  <c r="F150" i="1297"/>
  <c r="E149" i="1297"/>
  <c r="D149" i="1297"/>
  <c r="C149" i="1297"/>
  <c r="B149" i="1297"/>
  <c r="F149" i="1297"/>
  <c r="E148" i="1297"/>
  <c r="D148" i="1297"/>
  <c r="C148" i="1297"/>
  <c r="B148" i="1297"/>
  <c r="F148" i="1297"/>
  <c r="E147" i="1297"/>
  <c r="D147" i="1297"/>
  <c r="C147" i="1297"/>
  <c r="B147" i="1297"/>
  <c r="F147" i="1297"/>
  <c r="E146" i="1297"/>
  <c r="D146" i="1297"/>
  <c r="C146" i="1297"/>
  <c r="B146" i="1297"/>
  <c r="F146" i="1297"/>
  <c r="E145" i="1297"/>
  <c r="D145" i="1297"/>
  <c r="C145" i="1297"/>
  <c r="B145" i="1297"/>
  <c r="F145" i="1297"/>
  <c r="E144" i="1297"/>
  <c r="D144" i="1297"/>
  <c r="C144" i="1297"/>
  <c r="B144" i="1297"/>
  <c r="F144" i="1297"/>
  <c r="E143" i="1297"/>
  <c r="D143" i="1297"/>
  <c r="C143" i="1297"/>
  <c r="B143" i="1297"/>
  <c r="F143" i="1297"/>
  <c r="E142" i="1297"/>
  <c r="D142" i="1297"/>
  <c r="C142" i="1297"/>
  <c r="B142" i="1297"/>
  <c r="F142" i="1297"/>
  <c r="E141" i="1297"/>
  <c r="D141" i="1297"/>
  <c r="C141" i="1297"/>
  <c r="B141" i="1297"/>
  <c r="F141" i="1297"/>
  <c r="E140" i="1297"/>
  <c r="D140" i="1297"/>
  <c r="C140" i="1297"/>
  <c r="B140" i="1297"/>
  <c r="F140" i="1297"/>
  <c r="E139" i="1297"/>
  <c r="D139" i="1297"/>
  <c r="C139" i="1297"/>
  <c r="B139" i="1297"/>
  <c r="F139" i="1297"/>
  <c r="E138" i="1297"/>
  <c r="D138" i="1297"/>
  <c r="C138" i="1297"/>
  <c r="B138" i="1297"/>
  <c r="F138" i="1297"/>
  <c r="E137" i="1297"/>
  <c r="D137" i="1297"/>
  <c r="C137" i="1297"/>
  <c r="B137" i="1297"/>
  <c r="F137" i="1297"/>
  <c r="E136" i="1297"/>
  <c r="D136" i="1297"/>
  <c r="C136" i="1297"/>
  <c r="B136" i="1297"/>
  <c r="F136" i="1297"/>
  <c r="E135" i="1297"/>
  <c r="D135" i="1297"/>
  <c r="C135" i="1297"/>
  <c r="B135" i="1297"/>
  <c r="F135" i="1297"/>
  <c r="E134" i="1297"/>
  <c r="D134" i="1297"/>
  <c r="C134" i="1297"/>
  <c r="B134" i="1297"/>
  <c r="F134" i="1297"/>
  <c r="E133" i="1297"/>
  <c r="D133" i="1297"/>
  <c r="C133" i="1297"/>
  <c r="B133" i="1297"/>
  <c r="F133" i="1297"/>
  <c r="E132" i="1297"/>
  <c r="D132" i="1297"/>
  <c r="C132" i="1297"/>
  <c r="B132" i="1297"/>
  <c r="F132" i="1297"/>
  <c r="E131" i="1297"/>
  <c r="D131" i="1297"/>
  <c r="C131" i="1297"/>
  <c r="B131" i="1297"/>
  <c r="F131" i="1297"/>
  <c r="E130" i="1297"/>
  <c r="D130" i="1297"/>
  <c r="C130" i="1297"/>
  <c r="B130" i="1297"/>
  <c r="F130" i="1297"/>
  <c r="E129" i="1297"/>
  <c r="D129" i="1297"/>
  <c r="C129" i="1297"/>
  <c r="B129" i="1297"/>
  <c r="F129" i="1297"/>
  <c r="E128" i="1297"/>
  <c r="D128" i="1297"/>
  <c r="C128" i="1297"/>
  <c r="B128" i="1297"/>
  <c r="F128" i="1297"/>
  <c r="E127" i="1297"/>
  <c r="D127" i="1297"/>
  <c r="C127" i="1297"/>
  <c r="B127" i="1297"/>
  <c r="F127" i="1297"/>
  <c r="E126" i="1297"/>
  <c r="D126" i="1297"/>
  <c r="C126" i="1297"/>
  <c r="B126" i="1297"/>
  <c r="F126" i="1297"/>
  <c r="E125" i="1297"/>
  <c r="D125" i="1297"/>
  <c r="C125" i="1297"/>
  <c r="B125" i="1297"/>
  <c r="F125" i="1297"/>
  <c r="E124" i="1297"/>
  <c r="D124" i="1297"/>
  <c r="C124" i="1297"/>
  <c r="B124" i="1297"/>
  <c r="F124" i="1297"/>
  <c r="E123" i="1297"/>
  <c r="D123" i="1297"/>
  <c r="C123" i="1297"/>
  <c r="B123" i="1297"/>
  <c r="F123" i="1297"/>
  <c r="E122" i="1297"/>
  <c r="D122" i="1297"/>
  <c r="C122" i="1297"/>
  <c r="B122" i="1297"/>
  <c r="F122" i="1297"/>
  <c r="E121" i="1297"/>
  <c r="D121" i="1297"/>
  <c r="C121" i="1297"/>
  <c r="B121" i="1297"/>
  <c r="F121" i="1297"/>
  <c r="E120" i="1297"/>
  <c r="D120" i="1297"/>
  <c r="C120" i="1297"/>
  <c r="B120" i="1297"/>
  <c r="F120" i="1297"/>
  <c r="E119" i="1297"/>
  <c r="D119" i="1297"/>
  <c r="C119" i="1297"/>
  <c r="B119" i="1297"/>
  <c r="F119" i="1297"/>
  <c r="E118" i="1297"/>
  <c r="D118" i="1297"/>
  <c r="C118" i="1297"/>
  <c r="B118" i="1297"/>
  <c r="F118" i="1297"/>
  <c r="E117" i="1297"/>
  <c r="D117" i="1297"/>
  <c r="C117" i="1297"/>
  <c r="B117" i="1297"/>
  <c r="F117" i="1297"/>
  <c r="E116" i="1297"/>
  <c r="D116" i="1297"/>
  <c r="C116" i="1297"/>
  <c r="B116" i="1297"/>
  <c r="F116" i="1297"/>
  <c r="E115" i="1297"/>
  <c r="D115" i="1297"/>
  <c r="C115" i="1297"/>
  <c r="B115" i="1297"/>
  <c r="F115" i="1297"/>
  <c r="E114" i="1297"/>
  <c r="D114" i="1297"/>
  <c r="C114" i="1297"/>
  <c r="B114" i="1297"/>
  <c r="F114" i="1297"/>
  <c r="E113" i="1297"/>
  <c r="D113" i="1297"/>
  <c r="C113" i="1297"/>
  <c r="B113" i="1297"/>
  <c r="F113" i="1297"/>
  <c r="E112" i="1297"/>
  <c r="D112" i="1297"/>
  <c r="C112" i="1297"/>
  <c r="B112" i="1297"/>
  <c r="F112" i="1297"/>
  <c r="E111" i="1297"/>
  <c r="D111" i="1297"/>
  <c r="C111" i="1297"/>
  <c r="B111" i="1297"/>
  <c r="F111" i="1297"/>
  <c r="E110" i="1297"/>
  <c r="D110" i="1297"/>
  <c r="C110" i="1297"/>
  <c r="B110" i="1297"/>
  <c r="F110" i="1297"/>
  <c r="E109" i="1297"/>
  <c r="D109" i="1297"/>
  <c r="C109" i="1297"/>
  <c r="B109" i="1297"/>
  <c r="F109" i="1297"/>
  <c r="E108" i="1297"/>
  <c r="D108" i="1297"/>
  <c r="C108" i="1297"/>
  <c r="B108" i="1297"/>
  <c r="F108" i="1297"/>
  <c r="E107" i="1297"/>
  <c r="D107" i="1297"/>
  <c r="C107" i="1297"/>
  <c r="B107" i="1297"/>
  <c r="F107" i="1297"/>
  <c r="E106" i="1297"/>
  <c r="D106" i="1297"/>
  <c r="C106" i="1297"/>
  <c r="B106" i="1297"/>
  <c r="F106" i="1297"/>
  <c r="E105" i="1297"/>
  <c r="D105" i="1297"/>
  <c r="C105" i="1297"/>
  <c r="B105" i="1297"/>
  <c r="F105" i="1297"/>
  <c r="E104" i="1297"/>
  <c r="D104" i="1297"/>
  <c r="C104" i="1297"/>
  <c r="B104" i="1297"/>
  <c r="F104" i="1297"/>
  <c r="E103" i="1297"/>
  <c r="D103" i="1297"/>
  <c r="C103" i="1297"/>
  <c r="B103" i="1297"/>
  <c r="F103" i="1297"/>
  <c r="E102" i="1297"/>
  <c r="D102" i="1297"/>
  <c r="C102" i="1297"/>
  <c r="B102" i="1297"/>
  <c r="F102" i="1297"/>
  <c r="E101" i="1297"/>
  <c r="D101" i="1297"/>
  <c r="C101" i="1297"/>
  <c r="B101" i="1297"/>
  <c r="F101" i="1297"/>
  <c r="E100" i="1297"/>
  <c r="D100" i="1297"/>
  <c r="C100" i="1297"/>
  <c r="B100" i="1297"/>
  <c r="F100" i="1297"/>
  <c r="E99" i="1297"/>
  <c r="D99" i="1297"/>
  <c r="C99" i="1297"/>
  <c r="B99" i="1297"/>
  <c r="F99" i="1297"/>
  <c r="E98" i="1297"/>
  <c r="D98" i="1297"/>
  <c r="C98" i="1297"/>
  <c r="B98" i="1297"/>
  <c r="F98" i="1297"/>
  <c r="E97" i="1297"/>
  <c r="D97" i="1297"/>
  <c r="C97" i="1297"/>
  <c r="B97" i="1297"/>
  <c r="F97" i="1297"/>
  <c r="E96" i="1297"/>
  <c r="D96" i="1297"/>
  <c r="C96" i="1297"/>
  <c r="B96" i="1297"/>
  <c r="F96" i="1297"/>
  <c r="E95" i="1297"/>
  <c r="D95" i="1297"/>
  <c r="C95" i="1297"/>
  <c r="B95" i="1297"/>
  <c r="F95" i="1297"/>
  <c r="E94" i="1297"/>
  <c r="D94" i="1297"/>
  <c r="C94" i="1297"/>
  <c r="B94" i="1297"/>
  <c r="F94" i="1297"/>
  <c r="E93" i="1297"/>
  <c r="D93" i="1297"/>
  <c r="C93" i="1297"/>
  <c r="B93" i="1297"/>
  <c r="F93" i="1297"/>
  <c r="E92" i="1297"/>
  <c r="D92" i="1297"/>
  <c r="C92" i="1297"/>
  <c r="B92" i="1297"/>
  <c r="F92" i="1297"/>
  <c r="E91" i="1297"/>
  <c r="D91" i="1297"/>
  <c r="C91" i="1297"/>
  <c r="B91" i="1297"/>
  <c r="F91" i="1297"/>
  <c r="E90" i="1297"/>
  <c r="D90" i="1297"/>
  <c r="C90" i="1297"/>
  <c r="B90" i="1297"/>
  <c r="F90" i="1297"/>
  <c r="E89" i="1297"/>
  <c r="D89" i="1297"/>
  <c r="C89" i="1297"/>
  <c r="B89" i="1297"/>
  <c r="F89" i="1297"/>
  <c r="E88" i="1297"/>
  <c r="D88" i="1297"/>
  <c r="C88" i="1297"/>
  <c r="B88" i="1297"/>
  <c r="F88" i="1297"/>
  <c r="E87" i="1297"/>
  <c r="D87" i="1297"/>
  <c r="C87" i="1297"/>
  <c r="B87" i="1297"/>
  <c r="F87" i="1297"/>
  <c r="E86" i="1297"/>
  <c r="D86" i="1297"/>
  <c r="C86" i="1297"/>
  <c r="B86" i="1297"/>
  <c r="F86" i="1297"/>
  <c r="E85" i="1297"/>
  <c r="D85" i="1297"/>
  <c r="C85" i="1297"/>
  <c r="B85" i="1297"/>
  <c r="F85" i="1297"/>
  <c r="E84" i="1297"/>
  <c r="D84" i="1297"/>
  <c r="C84" i="1297"/>
  <c r="B84" i="1297"/>
  <c r="F84" i="1297"/>
  <c r="E83" i="1297"/>
  <c r="D83" i="1297"/>
  <c r="C83" i="1297"/>
  <c r="B83" i="1297"/>
  <c r="F83" i="1297"/>
  <c r="E82" i="1297"/>
  <c r="D82" i="1297"/>
  <c r="C82" i="1297"/>
  <c r="B82" i="1297"/>
  <c r="F82" i="1297"/>
  <c r="E81" i="1297"/>
  <c r="D81" i="1297"/>
  <c r="C81" i="1297"/>
  <c r="B81" i="1297"/>
  <c r="F81" i="1297"/>
  <c r="E80" i="1297"/>
  <c r="D80" i="1297"/>
  <c r="C80" i="1297"/>
  <c r="B80" i="1297"/>
  <c r="F80" i="1297"/>
  <c r="E79" i="1297"/>
  <c r="D79" i="1297"/>
  <c r="C79" i="1297"/>
  <c r="B79" i="1297"/>
  <c r="F79" i="1297"/>
  <c r="E78" i="1297"/>
  <c r="D78" i="1297"/>
  <c r="C78" i="1297"/>
  <c r="B78" i="1297"/>
  <c r="F78" i="1297"/>
  <c r="E77" i="1297"/>
  <c r="D77" i="1297"/>
  <c r="C77" i="1297"/>
  <c r="B77" i="1297"/>
  <c r="F77" i="1297"/>
  <c r="E76" i="1297"/>
  <c r="D76" i="1297"/>
  <c r="C76" i="1297"/>
  <c r="B76" i="1297"/>
  <c r="F76" i="1297"/>
  <c r="E75" i="1297"/>
  <c r="D75" i="1297"/>
  <c r="C75" i="1297"/>
  <c r="B75" i="1297"/>
  <c r="F75" i="1297"/>
  <c r="E74" i="1297"/>
  <c r="D74" i="1297"/>
  <c r="C74" i="1297"/>
  <c r="B74" i="1297"/>
  <c r="F74" i="1297"/>
  <c r="E73" i="1297"/>
  <c r="D73" i="1297"/>
  <c r="C73" i="1297"/>
  <c r="B73" i="1297"/>
  <c r="F73" i="1297"/>
  <c r="E72" i="1297"/>
  <c r="D72" i="1297"/>
  <c r="C72" i="1297"/>
  <c r="B72" i="1297"/>
  <c r="F72" i="1297"/>
  <c r="E71" i="1297"/>
  <c r="D71" i="1297"/>
  <c r="C71" i="1297"/>
  <c r="B71" i="1297"/>
  <c r="F71" i="1297"/>
  <c r="E70" i="1297"/>
  <c r="D70" i="1297"/>
  <c r="C70" i="1297"/>
  <c r="B70" i="1297"/>
  <c r="F70" i="1297"/>
  <c r="E69" i="1297"/>
  <c r="D69" i="1297"/>
  <c r="C69" i="1297"/>
  <c r="B69" i="1297"/>
  <c r="F69" i="1297"/>
  <c r="E68" i="1297"/>
  <c r="D68" i="1297"/>
  <c r="C68" i="1297"/>
  <c r="B68" i="1297"/>
  <c r="F68" i="1297"/>
  <c r="E67" i="1297"/>
  <c r="D67" i="1297"/>
  <c r="C67" i="1297"/>
  <c r="B67" i="1297"/>
  <c r="F67" i="1297"/>
  <c r="E66" i="1297"/>
  <c r="D66" i="1297"/>
  <c r="C66" i="1297"/>
  <c r="B66" i="1297"/>
  <c r="F66" i="1297"/>
  <c r="E65" i="1297"/>
  <c r="D65" i="1297"/>
  <c r="C65" i="1297"/>
  <c r="B65" i="1297"/>
  <c r="F65" i="1297"/>
  <c r="E64" i="1297"/>
  <c r="D64" i="1297"/>
  <c r="C64" i="1297"/>
  <c r="B64" i="1297"/>
  <c r="F64" i="1297"/>
  <c r="E63" i="1297"/>
  <c r="D63" i="1297"/>
  <c r="C63" i="1297"/>
  <c r="B63" i="1297"/>
  <c r="F63" i="1297"/>
  <c r="E62" i="1297"/>
  <c r="D62" i="1297"/>
  <c r="C62" i="1297"/>
  <c r="B62" i="1297"/>
  <c r="F62" i="1297"/>
  <c r="E61" i="1297"/>
  <c r="D61" i="1297"/>
  <c r="C61" i="1297"/>
  <c r="B61" i="1297"/>
  <c r="F61" i="1297"/>
  <c r="E60" i="1297"/>
  <c r="D60" i="1297"/>
  <c r="C60" i="1297"/>
  <c r="B60" i="1297"/>
  <c r="F60" i="1297"/>
  <c r="E59" i="1297"/>
  <c r="D59" i="1297"/>
  <c r="C59" i="1297"/>
  <c r="B59" i="1297"/>
  <c r="F59" i="1297"/>
  <c r="E58" i="1297"/>
  <c r="D58" i="1297"/>
  <c r="C58" i="1297"/>
  <c r="B58" i="1297"/>
  <c r="F58" i="1297"/>
  <c r="E57" i="1297"/>
  <c r="D57" i="1297"/>
  <c r="C57" i="1297"/>
  <c r="B57" i="1297"/>
  <c r="F57" i="1297"/>
  <c r="E56" i="1297"/>
  <c r="D56" i="1297"/>
  <c r="C56" i="1297"/>
  <c r="B56" i="1297"/>
  <c r="F56" i="1297"/>
  <c r="E55" i="1297"/>
  <c r="D55" i="1297"/>
  <c r="C55" i="1297"/>
  <c r="B55" i="1297"/>
  <c r="F55" i="1297"/>
  <c r="E54" i="1297"/>
  <c r="D54" i="1297"/>
  <c r="C54" i="1297"/>
  <c r="B54" i="1297"/>
  <c r="F54" i="1297"/>
  <c r="E53" i="1297"/>
  <c r="D53" i="1297"/>
  <c r="C53" i="1297"/>
  <c r="B53" i="1297"/>
  <c r="F53" i="1297"/>
  <c r="E52" i="1297"/>
  <c r="D52" i="1297"/>
  <c r="C52" i="1297"/>
  <c r="B52" i="1297"/>
  <c r="F52" i="1297"/>
  <c r="E51" i="1297"/>
  <c r="D51" i="1297"/>
  <c r="C51" i="1297"/>
  <c r="B51" i="1297"/>
  <c r="F51" i="1297"/>
  <c r="E50" i="1297"/>
  <c r="D50" i="1297"/>
  <c r="C50" i="1297"/>
  <c r="B50" i="1297"/>
  <c r="F50" i="1297"/>
  <c r="E49" i="1297"/>
  <c r="D49" i="1297"/>
  <c r="C49" i="1297"/>
  <c r="B49" i="1297"/>
  <c r="F49" i="1297"/>
  <c r="E48" i="1297"/>
  <c r="D48" i="1297"/>
  <c r="C48" i="1297"/>
  <c r="B48" i="1297"/>
  <c r="F48" i="1297"/>
  <c r="E47" i="1297"/>
  <c r="D47" i="1297"/>
  <c r="C47" i="1297"/>
  <c r="B47" i="1297"/>
  <c r="F47" i="1297"/>
  <c r="E46" i="1297"/>
  <c r="D46" i="1297"/>
  <c r="C46" i="1297"/>
  <c r="B46" i="1297"/>
  <c r="F46" i="1297"/>
  <c r="E45" i="1297"/>
  <c r="D45" i="1297"/>
  <c r="C45" i="1297"/>
  <c r="B45" i="1297"/>
  <c r="F45" i="1297"/>
  <c r="E44" i="1297"/>
  <c r="D44" i="1297"/>
  <c r="C44" i="1297"/>
  <c r="B44" i="1297"/>
  <c r="F44" i="1297"/>
  <c r="E43" i="1297"/>
  <c r="D43" i="1297"/>
  <c r="C43" i="1297"/>
  <c r="B43" i="1297"/>
  <c r="F43" i="1297"/>
  <c r="E42" i="1297"/>
  <c r="D42" i="1297"/>
  <c r="C42" i="1297"/>
  <c r="B42" i="1297"/>
  <c r="F42" i="1297"/>
  <c r="E41" i="1297"/>
  <c r="D41" i="1297"/>
  <c r="C41" i="1297"/>
  <c r="B41" i="1297"/>
  <c r="F41" i="1297"/>
  <c r="E40" i="1297"/>
  <c r="D40" i="1297"/>
  <c r="C40" i="1297"/>
  <c r="B40" i="1297"/>
  <c r="F40" i="1297"/>
  <c r="E39" i="1297"/>
  <c r="D39" i="1297"/>
  <c r="C39" i="1297"/>
  <c r="B39" i="1297"/>
  <c r="F39" i="1297"/>
  <c r="E38" i="1297"/>
  <c r="D38" i="1297"/>
  <c r="C38" i="1297"/>
  <c r="B38" i="1297"/>
  <c r="F38" i="1297"/>
  <c r="E37" i="1297"/>
  <c r="D37" i="1297"/>
  <c r="C37" i="1297"/>
  <c r="B37" i="1297"/>
  <c r="F37" i="1297"/>
  <c r="E36" i="1297"/>
  <c r="D36" i="1297"/>
  <c r="C36" i="1297"/>
  <c r="B36" i="1297"/>
  <c r="F36" i="1297"/>
  <c r="E35" i="1297"/>
  <c r="D35" i="1297"/>
  <c r="C35" i="1297"/>
  <c r="B35" i="1297"/>
  <c r="F35" i="1297"/>
  <c r="E34" i="1297"/>
  <c r="D34" i="1297"/>
  <c r="C34" i="1297"/>
  <c r="B34" i="1297"/>
  <c r="F34" i="1297"/>
  <c r="E33" i="1297"/>
  <c r="D33" i="1297"/>
  <c r="C33" i="1297"/>
  <c r="B33" i="1297"/>
  <c r="F33" i="1297"/>
  <c r="E32" i="1297"/>
  <c r="D32" i="1297"/>
  <c r="C32" i="1297"/>
  <c r="B32" i="1297"/>
  <c r="F32" i="1297"/>
  <c r="E31" i="1297"/>
  <c r="D31" i="1297"/>
  <c r="C31" i="1297"/>
  <c r="B31" i="1297"/>
  <c r="F31" i="1297"/>
  <c r="E30" i="1297"/>
  <c r="D30" i="1297"/>
  <c r="C30" i="1297"/>
  <c r="B30" i="1297"/>
  <c r="F30" i="1297"/>
  <c r="E29" i="1297"/>
  <c r="D29" i="1297"/>
  <c r="C29" i="1297"/>
  <c r="B29" i="1297"/>
  <c r="F29" i="1297"/>
  <c r="E28" i="1297"/>
  <c r="D28" i="1297"/>
  <c r="C28" i="1297"/>
  <c r="B28" i="1297"/>
  <c r="F28" i="1297"/>
  <c r="E27" i="1297"/>
  <c r="D27" i="1297"/>
  <c r="C27" i="1297"/>
  <c r="B27" i="1297"/>
  <c r="F27" i="1297"/>
  <c r="E26" i="1297"/>
  <c r="D26" i="1297"/>
  <c r="C26" i="1297"/>
  <c r="B26" i="1297"/>
  <c r="F26" i="1297"/>
  <c r="E25" i="1297"/>
  <c r="D25" i="1297"/>
  <c r="C25" i="1297"/>
  <c r="B25" i="1297"/>
  <c r="F25" i="1297"/>
  <c r="E24" i="1297"/>
  <c r="D24" i="1297"/>
  <c r="C24" i="1297"/>
  <c r="B24" i="1297"/>
  <c r="F24" i="1297"/>
  <c r="E23" i="1297"/>
  <c r="D23" i="1297"/>
  <c r="C23" i="1297"/>
  <c r="B23" i="1297"/>
  <c r="F23" i="1297"/>
  <c r="E22" i="1297"/>
  <c r="D22" i="1297"/>
  <c r="C22" i="1297"/>
  <c r="B22" i="1297"/>
  <c r="F22" i="1297"/>
  <c r="E21" i="1297"/>
  <c r="D21" i="1297"/>
  <c r="C21" i="1297"/>
  <c r="B21" i="1297"/>
  <c r="F21" i="1297"/>
  <c r="E20" i="1297"/>
  <c r="D20" i="1297"/>
  <c r="C20" i="1297"/>
  <c r="B20" i="1297"/>
  <c r="F20" i="1297"/>
  <c r="E19" i="1297"/>
  <c r="D19" i="1297"/>
  <c r="C19" i="1297"/>
  <c r="B19" i="1297"/>
  <c r="F19" i="1297"/>
  <c r="E18" i="1297"/>
  <c r="D18" i="1297"/>
  <c r="C18" i="1297"/>
  <c r="B18" i="1297"/>
  <c r="F18" i="1297"/>
  <c r="E17" i="1297"/>
  <c r="D17" i="1297"/>
  <c r="C17" i="1297"/>
  <c r="B17" i="1297"/>
  <c r="F17" i="1297"/>
  <c r="E16" i="1297"/>
  <c r="D16" i="1297"/>
  <c r="C16" i="1297"/>
  <c r="B16" i="1297"/>
  <c r="F16" i="1297"/>
  <c r="E15" i="1297"/>
  <c r="D15" i="1297"/>
  <c r="C15" i="1297"/>
  <c r="B15" i="1297"/>
  <c r="F15" i="1297"/>
  <c r="E14" i="1297"/>
  <c r="D14" i="1297"/>
  <c r="C14" i="1297"/>
  <c r="B14" i="1297"/>
  <c r="F14" i="1297"/>
  <c r="E13" i="1297"/>
  <c r="D13" i="1297"/>
  <c r="C13" i="1297"/>
  <c r="B13" i="1297"/>
  <c r="F13" i="1297"/>
  <c r="E12" i="1297"/>
  <c r="D12" i="1297"/>
  <c r="C12" i="1297"/>
  <c r="B12" i="1297"/>
  <c r="F12" i="1297"/>
  <c r="E11" i="1297"/>
  <c r="D11" i="1297"/>
  <c r="C11" i="1297"/>
  <c r="B11" i="1297"/>
  <c r="F11" i="1297"/>
  <c r="E10" i="1297"/>
  <c r="D10" i="1297"/>
  <c r="C10" i="1297"/>
  <c r="B10" i="1297"/>
  <c r="F10" i="1297"/>
  <c r="E9" i="1297"/>
  <c r="D9" i="1297"/>
  <c r="C9" i="1297"/>
  <c r="B9" i="1297"/>
  <c r="F9" i="1297"/>
  <c r="E8" i="1297"/>
  <c r="D8" i="1297"/>
  <c r="C8" i="1297"/>
  <c r="B8" i="1297"/>
  <c r="F8" i="1297"/>
  <c r="E7" i="1297"/>
  <c r="D7" i="1297"/>
  <c r="C7" i="1297"/>
  <c r="B7" i="1297"/>
  <c r="F7" i="1297"/>
  <c r="E6" i="1297"/>
  <c r="D6" i="1297"/>
  <c r="C6" i="1297"/>
  <c r="B6" i="1297"/>
  <c r="F6" i="1297"/>
  <c r="E5" i="1297"/>
  <c r="E14" i="1296"/>
  <c r="F14" i="1296"/>
  <c r="G14" i="1296"/>
  <c r="H14" i="1296"/>
  <c r="I14" i="1296"/>
  <c r="J14" i="1296"/>
  <c r="K14" i="1296"/>
  <c r="L14" i="1296"/>
  <c r="M14" i="1296"/>
  <c r="N14" i="1296"/>
  <c r="O14" i="1296"/>
  <c r="P14" i="1296"/>
  <c r="D13" i="1296"/>
  <c r="D12" i="1296"/>
  <c r="D11" i="1296"/>
  <c r="D10" i="1296"/>
  <c r="E7" i="1296"/>
  <c r="F7" i="1296"/>
  <c r="G7" i="1296"/>
  <c r="H7" i="1296"/>
  <c r="I7" i="1296"/>
  <c r="J7" i="1296"/>
  <c r="K7" i="1296"/>
  <c r="L7" i="1296"/>
  <c r="M7" i="1296"/>
  <c r="N7" i="1296"/>
  <c r="O7" i="1296"/>
  <c r="P7" i="1296"/>
  <c r="D6" i="1296"/>
  <c r="D5" i="1296"/>
  <c r="D4" i="1296"/>
  <c r="E12" i="1295"/>
  <c r="F12" i="1295"/>
  <c r="G12" i="1295"/>
  <c r="H12" i="1295"/>
  <c r="I12" i="1295"/>
  <c r="J12" i="1295"/>
  <c r="K12" i="1295"/>
  <c r="L12" i="1295"/>
  <c r="M12" i="1295"/>
  <c r="N12" i="1295"/>
  <c r="O12" i="1295"/>
  <c r="P12" i="1295"/>
  <c r="E10" i="1295"/>
  <c r="F10" i="1295"/>
  <c r="G10" i="1295"/>
  <c r="H10" i="1295"/>
  <c r="I10" i="1295"/>
  <c r="J10" i="1295"/>
  <c r="K10" i="1295"/>
  <c r="L10" i="1295"/>
  <c r="M10" i="1295"/>
  <c r="N10" i="1295"/>
  <c r="O10" i="1295"/>
  <c r="P10" i="1295"/>
  <c r="C8" i="1295"/>
  <c r="C7" i="1295"/>
  <c r="C6" i="1295"/>
  <c r="C5" i="1295"/>
  <c r="C4" i="1295"/>
  <c r="C3" i="1295"/>
  <c r="E21" i="1294"/>
  <c r="F21" i="1294"/>
  <c r="G21" i="1294"/>
  <c r="H21" i="1294"/>
  <c r="I21" i="1294"/>
  <c r="J21" i="1294"/>
  <c r="K21" i="1294"/>
  <c r="L21" i="1294"/>
  <c r="M21" i="1294"/>
  <c r="N21" i="1294"/>
  <c r="O21" i="1294"/>
  <c r="P21" i="1294"/>
  <c r="E19" i="1294"/>
  <c r="F19" i="1294"/>
  <c r="G19" i="1294"/>
  <c r="H19" i="1294"/>
  <c r="I19" i="1294"/>
  <c r="J19" i="1294"/>
  <c r="K19" i="1294"/>
  <c r="L19" i="1294"/>
  <c r="M19" i="1294"/>
  <c r="N19" i="1294"/>
  <c r="O19" i="1294"/>
  <c r="P19" i="1294"/>
  <c r="B19" i="1294"/>
  <c r="E16" i="1294"/>
  <c r="F16" i="1294"/>
  <c r="G16" i="1294"/>
  <c r="H16" i="1294"/>
  <c r="I16" i="1294"/>
  <c r="J16" i="1294"/>
  <c r="K16" i="1294"/>
  <c r="L16" i="1294"/>
  <c r="M16" i="1294"/>
  <c r="N16" i="1294"/>
  <c r="O16" i="1294"/>
  <c r="P16" i="1294"/>
  <c r="E14" i="1294"/>
  <c r="F14" i="1294"/>
  <c r="G14" i="1294"/>
  <c r="H14" i="1294"/>
  <c r="I14" i="1294"/>
  <c r="J14" i="1294"/>
  <c r="K14" i="1294"/>
  <c r="L14" i="1294"/>
  <c r="M14" i="1294"/>
  <c r="N14" i="1294"/>
  <c r="O14" i="1294"/>
  <c r="P14" i="1294"/>
  <c r="B14" i="1294"/>
  <c r="E11" i="1294"/>
  <c r="F11" i="1294"/>
  <c r="G11" i="1294"/>
  <c r="H11" i="1294"/>
  <c r="I11" i="1294"/>
  <c r="J11" i="1294"/>
  <c r="K11" i="1294"/>
  <c r="L11" i="1294"/>
  <c r="M11" i="1294"/>
  <c r="N11" i="1294"/>
  <c r="O11" i="1294"/>
  <c r="P11" i="1294"/>
  <c r="E9" i="1294"/>
  <c r="F9" i="1294"/>
  <c r="G9" i="1294"/>
  <c r="H9" i="1294"/>
  <c r="I9" i="1294"/>
  <c r="J9" i="1294"/>
  <c r="K9" i="1294"/>
  <c r="L9" i="1294"/>
  <c r="M9" i="1294"/>
  <c r="N9" i="1294"/>
  <c r="O9" i="1294"/>
  <c r="P9" i="1294"/>
  <c r="B9" i="1294"/>
  <c r="E6" i="1294"/>
  <c r="F6" i="1294"/>
  <c r="G6" i="1294"/>
  <c r="H6" i="1294"/>
  <c r="I6" i="1294"/>
  <c r="J6" i="1294"/>
  <c r="K6" i="1294"/>
  <c r="L6" i="1294"/>
  <c r="M6" i="1294"/>
  <c r="N6" i="1294"/>
  <c r="O6" i="1294"/>
  <c r="P6" i="1294"/>
  <c r="E4" i="1294"/>
  <c r="F4" i="1294"/>
  <c r="G4" i="1294"/>
  <c r="H4" i="1294"/>
  <c r="I4" i="1294"/>
  <c r="J4" i="1294"/>
  <c r="K4" i="1294"/>
  <c r="L4" i="1294"/>
  <c r="M4" i="1294"/>
  <c r="N4" i="1294"/>
  <c r="O4" i="1294"/>
  <c r="P4" i="1294"/>
  <c r="B4" i="1294"/>
  <c r="E30" i="1293"/>
  <c r="F30" i="1293"/>
  <c r="G30" i="1293"/>
  <c r="H30" i="1293"/>
  <c r="I30" i="1293"/>
  <c r="J30" i="1293"/>
  <c r="K30" i="1293"/>
  <c r="L30" i="1293"/>
  <c r="M30" i="1293"/>
  <c r="N30" i="1293"/>
  <c r="O30" i="1293"/>
  <c r="P30" i="1293"/>
  <c r="E22" i="1293"/>
  <c r="F22" i="1293"/>
  <c r="G22" i="1293"/>
  <c r="H22" i="1293"/>
  <c r="I22" i="1293"/>
  <c r="J22" i="1293"/>
  <c r="K22" i="1293"/>
  <c r="L22" i="1293"/>
  <c r="M22" i="1293"/>
  <c r="N22" i="1293"/>
  <c r="O22" i="1293"/>
  <c r="P22" i="1293"/>
  <c r="B22" i="1293"/>
  <c r="E16" i="1293"/>
  <c r="F16" i="1293"/>
  <c r="G16" i="1293"/>
  <c r="H16" i="1293"/>
  <c r="I16" i="1293"/>
  <c r="J16" i="1293"/>
  <c r="K16" i="1293"/>
  <c r="L16" i="1293"/>
  <c r="M16" i="1293"/>
  <c r="N16" i="1293"/>
  <c r="O16" i="1293"/>
  <c r="P16" i="1293"/>
  <c r="B16" i="1293"/>
  <c r="E10" i="1293"/>
  <c r="F10" i="1293"/>
  <c r="G10" i="1293"/>
  <c r="H10" i="1293"/>
  <c r="I10" i="1293"/>
  <c r="J10" i="1293"/>
  <c r="K10" i="1293"/>
  <c r="L10" i="1293"/>
  <c r="M10" i="1293"/>
  <c r="N10" i="1293"/>
  <c r="O10" i="1293"/>
  <c r="P10" i="1293"/>
  <c r="B10" i="1293"/>
  <c r="E4" i="1293"/>
  <c r="F4" i="1293"/>
  <c r="G4" i="1293"/>
  <c r="H4" i="1293"/>
  <c r="I4" i="1293"/>
  <c r="J4" i="1293"/>
  <c r="K4" i="1293"/>
  <c r="L4" i="1293"/>
  <c r="M4" i="1293"/>
  <c r="N4" i="1293"/>
  <c r="O4" i="1293"/>
  <c r="P4" i="1293"/>
  <c r="B4" i="1293"/>
  <c r="B22" i="1292"/>
  <c r="B16" i="1292"/>
  <c r="B10" i="1292"/>
  <c r="B4" i="1292"/>
  <c r="E31" i="1300"/>
  <c r="I31" i="1300"/>
  <c r="M31" i="1300"/>
  <c r="F31" i="1300"/>
  <c r="J31" i="1300"/>
  <c r="N31" i="1300"/>
  <c r="G31" i="1300"/>
  <c r="K31" i="1300"/>
  <c r="O31" i="1300"/>
  <c r="H31" i="1300"/>
  <c r="L31" i="1300"/>
  <c r="P31" i="1300"/>
  <c r="E30" i="1300"/>
  <c r="I30" i="1300"/>
  <c r="M30" i="1300"/>
  <c r="F30" i="1300"/>
  <c r="J30" i="1300"/>
  <c r="N30" i="1300"/>
  <c r="G30" i="1300"/>
  <c r="K30" i="1300"/>
  <c r="O30" i="1300"/>
  <c r="H30" i="1300"/>
  <c r="L30" i="1300"/>
  <c r="P30" i="1300"/>
  <c r="E26" i="1300"/>
  <c r="I26" i="1300"/>
  <c r="M26" i="1300"/>
  <c r="F26" i="1300"/>
  <c r="J26" i="1300"/>
  <c r="N26" i="1300"/>
  <c r="G26" i="1300"/>
  <c r="K26" i="1300"/>
  <c r="O26" i="1300"/>
  <c r="H26" i="1300"/>
  <c r="L26" i="1300"/>
  <c r="P26" i="1300"/>
  <c r="E25" i="1300"/>
  <c r="I25" i="1300"/>
  <c r="M25" i="1300"/>
  <c r="F25" i="1300"/>
  <c r="J25" i="1300"/>
  <c r="N25" i="1300"/>
  <c r="G25" i="1300"/>
  <c r="K25" i="1300"/>
  <c r="O25" i="1300"/>
  <c r="H25" i="1300"/>
  <c r="L25" i="1300"/>
  <c r="P25" i="1300"/>
  <c r="E21" i="1300"/>
  <c r="I21" i="1300"/>
  <c r="M21" i="1300"/>
  <c r="F21" i="1300"/>
  <c r="J21" i="1300"/>
  <c r="N21" i="1300"/>
  <c r="G21" i="1300"/>
  <c r="K21" i="1300"/>
  <c r="O21" i="1300"/>
  <c r="H21" i="1300"/>
  <c r="L21" i="1300"/>
  <c r="P21" i="1300"/>
  <c r="E19" i="1300"/>
  <c r="I19" i="1300"/>
  <c r="M19" i="1300"/>
  <c r="F19" i="1300"/>
  <c r="J19" i="1300"/>
  <c r="N19" i="1300"/>
  <c r="G19" i="1300"/>
  <c r="K19" i="1300"/>
  <c r="O19" i="1300"/>
  <c r="H19" i="1300"/>
  <c r="L19" i="1300"/>
  <c r="P19" i="1300"/>
  <c r="E17" i="1300"/>
  <c r="I17" i="1300"/>
  <c r="M17" i="1300"/>
  <c r="F17" i="1300"/>
  <c r="J17" i="1300"/>
  <c r="N17" i="1300"/>
  <c r="G17" i="1300"/>
  <c r="K17" i="1300"/>
  <c r="O17" i="1300"/>
  <c r="H17" i="1300"/>
  <c r="L17" i="1300"/>
  <c r="P17" i="1300"/>
  <c r="E15" i="1300"/>
  <c r="I15" i="1300"/>
  <c r="M15" i="1300"/>
  <c r="F15" i="1300"/>
  <c r="J15" i="1300"/>
  <c r="N15" i="1300"/>
  <c r="G15" i="1300"/>
  <c r="K15" i="1300"/>
  <c r="O15" i="1300"/>
  <c r="H15" i="1300"/>
  <c r="L15" i="1300"/>
  <c r="P15" i="1300"/>
  <c r="E12" i="1300"/>
  <c r="I12" i="1300"/>
  <c r="M12" i="1300"/>
  <c r="F12" i="1300"/>
  <c r="J12" i="1300"/>
  <c r="N12" i="1300"/>
  <c r="G12" i="1300"/>
  <c r="K12" i="1300"/>
  <c r="O12" i="1300"/>
  <c r="H12" i="1300"/>
  <c r="L12" i="1300"/>
  <c r="P12" i="1300"/>
  <c r="E44" i="1299"/>
  <c r="F44" i="1299"/>
  <c r="G44" i="1299"/>
  <c r="H44" i="1299"/>
  <c r="I44" i="1299" s="1"/>
  <c r="J44" i="1299" s="1"/>
  <c r="K44" i="1299" s="1"/>
  <c r="L44" i="1299"/>
  <c r="M44" i="1299" s="1"/>
  <c r="N44" i="1299" s="1"/>
  <c r="O44" i="1299" s="1"/>
  <c r="P44" i="1299"/>
  <c r="E43" i="1299"/>
  <c r="I43" i="1299"/>
  <c r="M43" i="1299"/>
  <c r="F43" i="1299"/>
  <c r="J43" i="1299"/>
  <c r="N43" i="1299"/>
  <c r="G43" i="1299"/>
  <c r="K43" i="1299"/>
  <c r="O43" i="1299"/>
  <c r="H43" i="1299"/>
  <c r="L43" i="1299"/>
  <c r="P43" i="1299"/>
  <c r="E36" i="1299"/>
  <c r="I36" i="1299"/>
  <c r="M36" i="1299"/>
  <c r="F36" i="1299"/>
  <c r="J36" i="1299"/>
  <c r="N36" i="1299"/>
  <c r="G36" i="1299"/>
  <c r="K36" i="1299"/>
  <c r="O36" i="1299"/>
  <c r="H36" i="1299"/>
  <c r="L36" i="1299"/>
  <c r="P36" i="1299"/>
  <c r="E35" i="1299"/>
  <c r="I35" i="1299"/>
  <c r="M35" i="1299"/>
  <c r="F35" i="1299"/>
  <c r="J35" i="1299"/>
  <c r="N35" i="1299"/>
  <c r="G35" i="1299"/>
  <c r="K35" i="1299"/>
  <c r="O35" i="1299"/>
  <c r="H35" i="1299"/>
  <c r="L35" i="1299"/>
  <c r="P35" i="1299"/>
  <c r="F28" i="1299"/>
  <c r="E28" i="1299"/>
  <c r="F20" i="1299"/>
  <c r="E20" i="1299"/>
  <c r="E8" i="1299"/>
  <c r="F8" i="1299"/>
  <c r="G8" i="1299"/>
  <c r="H8" i="1299"/>
  <c r="I8" i="1299" s="1"/>
  <c r="J8" i="1299" s="1"/>
  <c r="K8" i="1299" s="1"/>
  <c r="L8" i="1299"/>
  <c r="M8" i="1299" s="1"/>
  <c r="N8" i="1299" s="1"/>
  <c r="O8" i="1299" s="1"/>
  <c r="P8" i="1299"/>
  <c r="E32" i="1298"/>
  <c r="I32" i="1298"/>
  <c r="M32" i="1298"/>
  <c r="F32" i="1298"/>
  <c r="J32" i="1298"/>
  <c r="N32" i="1298"/>
  <c r="G32" i="1298"/>
  <c r="K32" i="1298"/>
  <c r="O32" i="1298"/>
  <c r="H32" i="1298"/>
  <c r="L32" i="1298"/>
  <c r="P32" i="1298"/>
  <c r="E30" i="1298"/>
  <c r="I30" i="1298"/>
  <c r="M30" i="1298"/>
  <c r="F30" i="1298"/>
  <c r="J30" i="1298"/>
  <c r="N30" i="1298"/>
  <c r="G30" i="1298"/>
  <c r="K30" i="1298"/>
  <c r="O30" i="1298"/>
  <c r="H30" i="1298"/>
  <c r="L30" i="1298"/>
  <c r="P30" i="1298"/>
  <c r="E29" i="1298"/>
  <c r="I29" i="1298"/>
  <c r="M29" i="1298"/>
  <c r="F29" i="1298"/>
  <c r="J29" i="1298"/>
  <c r="N29" i="1298"/>
  <c r="G29" i="1298"/>
  <c r="K29" i="1298"/>
  <c r="O29" i="1298"/>
  <c r="H29" i="1298"/>
  <c r="L29" i="1298"/>
  <c r="P29" i="1298"/>
  <c r="E6" i="1298"/>
  <c r="I6" i="1298"/>
  <c r="M6" i="1298"/>
  <c r="F6" i="1298"/>
  <c r="J6" i="1298"/>
  <c r="N6" i="1298"/>
  <c r="G6" i="1298"/>
  <c r="K6" i="1298"/>
  <c r="O6" i="1298"/>
  <c r="H6" i="1298"/>
  <c r="L6" i="1298"/>
  <c r="P6" i="1298"/>
  <c r="E4" i="1298"/>
  <c r="I4" i="1298"/>
  <c r="M4" i="1298"/>
  <c r="F4" i="1298"/>
  <c r="J4" i="1298"/>
  <c r="N4" i="1298"/>
  <c r="G4" i="1298"/>
  <c r="K4" i="1298"/>
  <c r="O4" i="1298"/>
  <c r="H4" i="1298"/>
  <c r="L4" i="1298"/>
  <c r="P4" i="1298"/>
  <c r="E13" i="1296"/>
  <c r="I13" i="1296"/>
  <c r="M13" i="1296"/>
  <c r="F13" i="1296"/>
  <c r="J13" i="1296"/>
  <c r="N13" i="1296"/>
  <c r="G13" i="1296"/>
  <c r="K13" i="1296"/>
  <c r="O13" i="1296"/>
  <c r="H13" i="1296"/>
  <c r="L13" i="1296"/>
  <c r="P13" i="1296"/>
  <c r="E12" i="1296"/>
  <c r="I12" i="1296"/>
  <c r="M12" i="1296"/>
  <c r="F12" i="1296"/>
  <c r="J12" i="1296"/>
  <c r="N12" i="1296"/>
  <c r="G12" i="1296"/>
  <c r="K12" i="1296"/>
  <c r="O12" i="1296"/>
  <c r="H12" i="1296"/>
  <c r="L12" i="1296"/>
  <c r="P12" i="1296"/>
  <c r="E11" i="1296"/>
  <c r="I11" i="1296"/>
  <c r="M11" i="1296"/>
  <c r="F11" i="1296"/>
  <c r="J11" i="1296"/>
  <c r="N11" i="1296"/>
  <c r="G11" i="1296"/>
  <c r="K11" i="1296"/>
  <c r="O11" i="1296"/>
  <c r="H11" i="1296"/>
  <c r="L11" i="1296"/>
  <c r="P11" i="1296"/>
  <c r="E10" i="1296"/>
  <c r="I10" i="1296"/>
  <c r="M10" i="1296"/>
  <c r="F10" i="1296"/>
  <c r="J10" i="1296"/>
  <c r="N10" i="1296"/>
  <c r="G10" i="1296"/>
  <c r="K10" i="1296"/>
  <c r="O10" i="1296"/>
  <c r="H10" i="1296"/>
  <c r="L10" i="1296"/>
  <c r="P10" i="1296"/>
  <c r="E6" i="1296"/>
  <c r="I6" i="1296"/>
  <c r="M6" i="1296"/>
  <c r="F6" i="1296"/>
  <c r="J6" i="1296"/>
  <c r="N6" i="1296"/>
  <c r="G6" i="1296"/>
  <c r="K6" i="1296"/>
  <c r="O6" i="1296"/>
  <c r="H6" i="1296"/>
  <c r="L6" i="1296"/>
  <c r="P6" i="1296"/>
  <c r="E5" i="1296"/>
  <c r="I5" i="1296"/>
  <c r="M5" i="1296"/>
  <c r="F5" i="1296"/>
  <c r="J5" i="1296"/>
  <c r="N5" i="1296"/>
  <c r="G5" i="1296"/>
  <c r="K5" i="1296"/>
  <c r="O5" i="1296"/>
  <c r="H5" i="1296"/>
  <c r="L5" i="1296"/>
  <c r="P5" i="1296"/>
  <c r="E4" i="1296"/>
  <c r="I4" i="1296"/>
  <c r="M4" i="1296"/>
  <c r="F4" i="1296"/>
  <c r="J4" i="1296"/>
  <c r="N4" i="1296"/>
  <c r="G4" i="1296"/>
  <c r="K4" i="1296"/>
  <c r="O4" i="1296"/>
  <c r="H4" i="1296"/>
  <c r="L4" i="1296"/>
  <c r="P4" i="1296"/>
  <c r="E11" i="1295"/>
  <c r="I11" i="1295"/>
  <c r="M11" i="1295"/>
  <c r="F11" i="1295"/>
  <c r="J11" i="1295"/>
  <c r="N11" i="1295"/>
  <c r="G11" i="1295"/>
  <c r="K11" i="1295"/>
  <c r="O11" i="1295"/>
  <c r="H11" i="1295"/>
  <c r="L11" i="1295"/>
  <c r="P11" i="1295"/>
  <c r="E8" i="1295"/>
  <c r="I8" i="1295"/>
  <c r="M8" i="1295"/>
  <c r="F8" i="1295"/>
  <c r="J8" i="1295"/>
  <c r="N8" i="1295"/>
  <c r="G8" i="1295"/>
  <c r="K8" i="1295"/>
  <c r="O8" i="1295"/>
  <c r="H8" i="1295"/>
  <c r="L8" i="1295"/>
  <c r="P8" i="1295"/>
  <c r="E7" i="1295"/>
  <c r="I7" i="1295"/>
  <c r="M7" i="1295"/>
  <c r="F7" i="1295"/>
  <c r="J7" i="1295"/>
  <c r="N7" i="1295"/>
  <c r="G7" i="1295"/>
  <c r="K7" i="1295"/>
  <c r="O7" i="1295"/>
  <c r="H7" i="1295"/>
  <c r="L7" i="1295"/>
  <c r="P7" i="1295"/>
  <c r="E6" i="1295"/>
  <c r="I6" i="1295"/>
  <c r="M6" i="1295"/>
  <c r="F6" i="1295"/>
  <c r="J6" i="1295"/>
  <c r="N6" i="1295"/>
  <c r="G6" i="1295"/>
  <c r="K6" i="1295"/>
  <c r="O6" i="1295"/>
  <c r="H6" i="1295"/>
  <c r="L6" i="1295"/>
  <c r="P6" i="1295"/>
  <c r="E5" i="1295"/>
  <c r="I5" i="1295"/>
  <c r="M5" i="1295"/>
  <c r="F5" i="1295"/>
  <c r="J5" i="1295"/>
  <c r="N5" i="1295"/>
  <c r="G5" i="1295"/>
  <c r="K5" i="1295"/>
  <c r="O5" i="1295"/>
  <c r="H5" i="1295"/>
  <c r="L5" i="1295"/>
  <c r="P5" i="1295"/>
  <c r="E4" i="1295"/>
  <c r="I4" i="1295"/>
  <c r="M4" i="1295"/>
  <c r="F4" i="1295"/>
  <c r="J4" i="1295"/>
  <c r="N4" i="1295"/>
  <c r="G4" i="1295"/>
  <c r="K4" i="1295"/>
  <c r="O4" i="1295"/>
  <c r="H4" i="1295"/>
  <c r="L4" i="1295"/>
  <c r="P4" i="1295"/>
  <c r="E3" i="1295"/>
  <c r="I3" i="1295"/>
  <c r="M3" i="1295"/>
  <c r="F3" i="1295"/>
  <c r="J3" i="1295"/>
  <c r="N3" i="1295"/>
  <c r="L3" i="1295"/>
  <c r="G3" i="1295"/>
  <c r="K3" i="1295"/>
  <c r="O3" i="1295"/>
  <c r="H3" i="1295"/>
  <c r="P3" i="1295"/>
  <c r="E24" i="1294"/>
  <c r="I24" i="1294"/>
  <c r="M24" i="1294"/>
  <c r="F24" i="1294"/>
  <c r="J24" i="1294"/>
  <c r="N24" i="1294"/>
  <c r="G24" i="1294"/>
  <c r="K24" i="1294"/>
  <c r="O24" i="1294"/>
  <c r="H24" i="1294"/>
  <c r="L24" i="1294"/>
  <c r="P24" i="1294"/>
  <c r="E22" i="1294"/>
  <c r="I22" i="1294"/>
  <c r="M22" i="1294"/>
  <c r="F22" i="1294"/>
  <c r="J22" i="1294"/>
  <c r="N22" i="1294"/>
  <c r="G22" i="1294"/>
  <c r="K22" i="1294"/>
  <c r="O22" i="1294"/>
  <c r="H22" i="1294"/>
  <c r="L22" i="1294"/>
  <c r="P22" i="1294"/>
  <c r="E17" i="1294"/>
  <c r="I17" i="1294"/>
  <c r="M17" i="1294"/>
  <c r="F17" i="1294"/>
  <c r="J17" i="1294"/>
  <c r="N17" i="1294"/>
  <c r="G17" i="1294"/>
  <c r="K17" i="1294"/>
  <c r="O17" i="1294"/>
  <c r="H17" i="1294"/>
  <c r="L17" i="1294"/>
  <c r="P17" i="1294"/>
  <c r="E12" i="1294"/>
  <c r="I12" i="1294"/>
  <c r="M12" i="1294"/>
  <c r="F12" i="1294"/>
  <c r="J12" i="1294"/>
  <c r="N12" i="1294"/>
  <c r="G12" i="1294"/>
  <c r="K12" i="1294"/>
  <c r="O12" i="1294"/>
  <c r="H12" i="1294"/>
  <c r="L12" i="1294"/>
  <c r="P12" i="1294"/>
  <c r="E7" i="1294"/>
  <c r="I7" i="1294"/>
  <c r="M7" i="1294"/>
  <c r="F7" i="1294"/>
  <c r="J7" i="1294"/>
  <c r="N7" i="1294"/>
  <c r="G7" i="1294"/>
  <c r="K7" i="1294"/>
  <c r="O7" i="1294"/>
  <c r="H7" i="1294"/>
  <c r="L7" i="1294"/>
  <c r="P7" i="1294"/>
  <c r="E29" i="1293"/>
  <c r="I29" i="1293"/>
  <c r="M29" i="1293"/>
  <c r="F29" i="1293"/>
  <c r="J29" i="1293"/>
  <c r="N29" i="1293"/>
  <c r="G29" i="1293"/>
  <c r="K29" i="1293"/>
  <c r="O29" i="1293"/>
  <c r="H29" i="1293"/>
  <c r="L29" i="1293"/>
  <c r="P29" i="1293"/>
  <c r="E28" i="1293"/>
  <c r="I28" i="1293"/>
  <c r="M28" i="1293"/>
  <c r="F28" i="1293"/>
  <c r="J28" i="1293"/>
  <c r="N28" i="1293"/>
  <c r="G28" i="1293"/>
  <c r="K28" i="1293"/>
  <c r="O28" i="1293"/>
  <c r="H28" i="1293"/>
  <c r="L28" i="1293"/>
  <c r="P28" i="1293"/>
  <c r="E25" i="1293"/>
  <c r="I25" i="1293"/>
  <c r="M25" i="1293"/>
  <c r="F25" i="1293"/>
  <c r="J25" i="1293"/>
  <c r="N25" i="1293"/>
  <c r="G25" i="1293"/>
  <c r="K25" i="1293"/>
  <c r="O25" i="1293"/>
  <c r="H25" i="1293"/>
  <c r="L25" i="1293"/>
  <c r="P25" i="1293"/>
  <c r="E26" i="1293"/>
  <c r="I26" i="1293"/>
  <c r="M26" i="1293"/>
  <c r="O26" i="1293"/>
  <c r="F26" i="1293"/>
  <c r="J26" i="1293"/>
  <c r="N26" i="1293"/>
  <c r="K26" i="1293"/>
  <c r="G26" i="1293"/>
  <c r="H26" i="1293"/>
  <c r="L26" i="1293"/>
  <c r="P26" i="1293"/>
  <c r="E24" i="1293"/>
  <c r="I24" i="1293"/>
  <c r="M24" i="1293"/>
  <c r="F24" i="1293"/>
  <c r="J24" i="1293"/>
  <c r="N24" i="1293"/>
  <c r="G24" i="1293"/>
  <c r="K24" i="1293"/>
  <c r="O24" i="1293"/>
  <c r="H24" i="1293"/>
  <c r="L24" i="1293"/>
  <c r="P24" i="1293"/>
  <c r="E23" i="1293"/>
  <c r="I23" i="1293"/>
  <c r="M23" i="1293"/>
  <c r="F23" i="1293"/>
  <c r="J23" i="1293"/>
  <c r="N23" i="1293"/>
  <c r="G23" i="1293"/>
  <c r="K23" i="1293"/>
  <c r="O23" i="1293"/>
  <c r="H23" i="1293"/>
  <c r="L23" i="1293"/>
  <c r="P23" i="1293"/>
  <c r="E19" i="1293"/>
  <c r="I19" i="1293"/>
  <c r="M19" i="1293"/>
  <c r="F19" i="1293"/>
  <c r="J19" i="1293"/>
  <c r="N19" i="1293"/>
  <c r="G19" i="1293"/>
  <c r="K19" i="1293"/>
  <c r="O19" i="1293"/>
  <c r="H19" i="1293"/>
  <c r="L19" i="1293"/>
  <c r="P19" i="1293"/>
  <c r="E20" i="1293"/>
  <c r="I20" i="1293"/>
  <c r="M20" i="1293"/>
  <c r="F20" i="1293"/>
  <c r="J20" i="1293"/>
  <c r="N20" i="1293"/>
  <c r="G20" i="1293"/>
  <c r="K20" i="1293"/>
  <c r="O20" i="1293"/>
  <c r="H20" i="1293"/>
  <c r="L20" i="1293"/>
  <c r="P20" i="1293"/>
  <c r="E18" i="1293"/>
  <c r="I18" i="1293"/>
  <c r="M18" i="1293"/>
  <c r="F18" i="1293"/>
  <c r="J18" i="1293"/>
  <c r="N18" i="1293"/>
  <c r="G18" i="1293"/>
  <c r="K18" i="1293"/>
  <c r="O18" i="1293"/>
  <c r="H18" i="1293"/>
  <c r="L18" i="1293"/>
  <c r="P18" i="1293"/>
  <c r="E17" i="1293"/>
  <c r="I17" i="1293"/>
  <c r="M17" i="1293"/>
  <c r="F17" i="1293"/>
  <c r="J17" i="1293"/>
  <c r="N17" i="1293"/>
  <c r="G17" i="1293"/>
  <c r="K17" i="1293"/>
  <c r="O17" i="1293"/>
  <c r="H17" i="1293"/>
  <c r="L17" i="1293"/>
  <c r="P17" i="1293"/>
  <c r="E13" i="1293"/>
  <c r="I13" i="1293"/>
  <c r="M13" i="1293"/>
  <c r="F13" i="1293"/>
  <c r="J13" i="1293"/>
  <c r="N13" i="1293"/>
  <c r="G13" i="1293"/>
  <c r="K13" i="1293"/>
  <c r="O13" i="1293"/>
  <c r="H13" i="1293"/>
  <c r="L13" i="1293"/>
  <c r="P13" i="1293"/>
  <c r="E14" i="1293"/>
  <c r="I14" i="1293"/>
  <c r="M14" i="1293"/>
  <c r="F14" i="1293"/>
  <c r="J14" i="1293"/>
  <c r="N14" i="1293"/>
  <c r="G14" i="1293"/>
  <c r="K14" i="1293"/>
  <c r="O14" i="1293"/>
  <c r="H14" i="1293"/>
  <c r="L14" i="1293"/>
  <c r="P14" i="1293"/>
  <c r="E12" i="1293"/>
  <c r="I12" i="1293"/>
  <c r="M12" i="1293"/>
  <c r="F12" i="1293"/>
  <c r="J12" i="1293"/>
  <c r="N12" i="1293"/>
  <c r="G12" i="1293"/>
  <c r="K12" i="1293"/>
  <c r="O12" i="1293"/>
  <c r="H12" i="1293"/>
  <c r="L12" i="1293"/>
  <c r="P12" i="1293"/>
  <c r="E11" i="1293"/>
  <c r="I11" i="1293"/>
  <c r="M11" i="1293"/>
  <c r="F11" i="1293"/>
  <c r="J11" i="1293"/>
  <c r="N11" i="1293"/>
  <c r="G11" i="1293"/>
  <c r="K11" i="1293"/>
  <c r="O11" i="1293"/>
  <c r="H11" i="1293"/>
  <c r="L11" i="1293"/>
  <c r="P11" i="1293"/>
  <c r="E7" i="1293"/>
  <c r="I7" i="1293"/>
  <c r="M7" i="1293"/>
  <c r="F7" i="1293"/>
  <c r="J7" i="1293"/>
  <c r="N7" i="1293"/>
  <c r="G7" i="1293"/>
  <c r="K7" i="1293"/>
  <c r="O7" i="1293"/>
  <c r="H7" i="1293"/>
  <c r="L7" i="1293"/>
  <c r="P7" i="1293"/>
  <c r="E8" i="1293"/>
  <c r="I8" i="1293"/>
  <c r="M8" i="1293"/>
  <c r="F8" i="1293"/>
  <c r="J8" i="1293"/>
  <c r="N8" i="1293"/>
  <c r="G8" i="1293"/>
  <c r="K8" i="1293"/>
  <c r="O8" i="1293"/>
  <c r="H8" i="1293"/>
  <c r="L8" i="1293"/>
  <c r="P8" i="1293"/>
  <c r="E6" i="1293"/>
  <c r="I6" i="1293"/>
  <c r="M6" i="1293"/>
  <c r="F6" i="1293"/>
  <c r="J6" i="1293"/>
  <c r="N6" i="1293"/>
  <c r="G6" i="1293"/>
  <c r="K6" i="1293"/>
  <c r="O6" i="1293"/>
  <c r="H6" i="1293"/>
  <c r="L6" i="1293"/>
  <c r="P6" i="1293"/>
  <c r="E5" i="1293"/>
  <c r="I5" i="1293"/>
  <c r="M5" i="1293"/>
  <c r="F5" i="1293"/>
  <c r="J5" i="1293"/>
  <c r="N5" i="1293"/>
  <c r="G5" i="1293"/>
  <c r="K5" i="1293"/>
  <c r="O5" i="1293"/>
  <c r="H5" i="1293"/>
  <c r="L5" i="1293"/>
  <c r="P5" i="1293"/>
  <c r="E28" i="1292"/>
  <c r="I28" i="1292"/>
  <c r="M28" i="1292"/>
  <c r="L28" i="1292"/>
  <c r="F28" i="1292"/>
  <c r="J28" i="1292"/>
  <c r="N28" i="1292"/>
  <c r="P28" i="1292"/>
  <c r="G28" i="1292"/>
  <c r="K28" i="1292"/>
  <c r="O28" i="1292"/>
  <c r="H28" i="1292"/>
  <c r="E26" i="1292"/>
  <c r="E24" i="1292"/>
  <c r="E23" i="1292"/>
  <c r="I23" i="1292"/>
  <c r="M23" i="1292"/>
  <c r="F23" i="1292"/>
  <c r="J23" i="1292"/>
  <c r="N23" i="1292"/>
  <c r="G23" i="1292"/>
  <c r="K23" i="1292"/>
  <c r="O23" i="1292"/>
  <c r="H23" i="1292"/>
  <c r="L23" i="1292"/>
  <c r="P23" i="1292"/>
  <c r="E20" i="1292"/>
  <c r="E18" i="1292"/>
  <c r="E17" i="1292"/>
  <c r="I17" i="1292"/>
  <c r="M17" i="1292"/>
  <c r="F17" i="1292"/>
  <c r="J17" i="1292"/>
  <c r="N17" i="1292"/>
  <c r="G17" i="1292"/>
  <c r="K17" i="1292"/>
  <c r="O17" i="1292"/>
  <c r="H17" i="1292"/>
  <c r="L17" i="1292"/>
  <c r="P17" i="1292"/>
  <c r="E14" i="1292"/>
  <c r="E12" i="1292"/>
  <c r="E11" i="1292"/>
  <c r="I11" i="1292"/>
  <c r="M11" i="1292"/>
  <c r="F11" i="1292"/>
  <c r="J11" i="1292"/>
  <c r="N11" i="1292"/>
  <c r="G11" i="1292"/>
  <c r="K11" i="1292"/>
  <c r="O11" i="1292"/>
  <c r="H11" i="1292"/>
  <c r="L11" i="1292"/>
  <c r="P11" i="1292"/>
  <c r="E8" i="1292"/>
  <c r="E6" i="1292"/>
  <c r="E5" i="1292"/>
  <c r="I5" i="1292"/>
  <c r="M5" i="1292"/>
  <c r="F5" i="1292"/>
  <c r="J5" i="1292"/>
  <c r="N5" i="1292"/>
  <c r="G5" i="1292"/>
  <c r="K5" i="1292"/>
  <c r="O5" i="1292"/>
  <c r="H5" i="1292"/>
  <c r="L5" i="1292"/>
  <c r="P5" i="1292"/>
  <c r="F22" i="1292" l="1"/>
  <c r="F16" i="1292"/>
  <c r="F10" i="1292"/>
  <c r="F4" i="1292"/>
  <c r="G28" i="1299"/>
  <c r="G20" i="1299"/>
  <c r="F24" i="1292"/>
  <c r="F26" i="1292" s="1"/>
  <c r="F18" i="1292"/>
  <c r="F20" i="1292" s="1"/>
  <c r="F12" i="1292"/>
  <c r="F14" i="1292" s="1"/>
  <c r="F6" i="1292"/>
  <c r="F8" i="1292" s="1"/>
  <c r="G22" i="1292" l="1"/>
  <c r="G16" i="1292"/>
  <c r="G10" i="1292"/>
  <c r="G4" i="1292"/>
  <c r="H28" i="1299"/>
  <c r="H20" i="1299"/>
  <c r="G24" i="1292"/>
  <c r="G26" i="1292" s="1"/>
  <c r="G18" i="1292"/>
  <c r="G20" i="1292" s="1"/>
  <c r="G12" i="1292"/>
  <c r="G14" i="1292" s="1"/>
  <c r="G6" i="1292"/>
  <c r="G8" i="1292" s="1"/>
  <c r="H22" i="1292" l="1"/>
  <c r="H16" i="1292"/>
  <c r="H10" i="1292"/>
  <c r="H4" i="1292"/>
  <c r="I28" i="1299"/>
  <c r="I20" i="1299"/>
  <c r="H24" i="1292"/>
  <c r="H26" i="1292" s="1"/>
  <c r="H18" i="1292"/>
  <c r="H20" i="1292" s="1"/>
  <c r="H12" i="1292"/>
  <c r="H14" i="1292" s="1"/>
  <c r="H6" i="1292"/>
  <c r="H8" i="1292" s="1"/>
  <c r="I22" i="1292" l="1"/>
  <c r="I16" i="1292"/>
  <c r="I10" i="1292"/>
  <c r="I4" i="1292"/>
  <c r="J28" i="1299"/>
  <c r="J20" i="1299"/>
  <c r="I24" i="1292"/>
  <c r="I26" i="1292" s="1"/>
  <c r="I18" i="1292"/>
  <c r="I20" i="1292" s="1"/>
  <c r="I12" i="1292"/>
  <c r="I14" i="1292" s="1"/>
  <c r="I6" i="1292"/>
  <c r="I8" i="1292" s="1"/>
  <c r="J22" i="1292" l="1"/>
  <c r="J16" i="1292"/>
  <c r="J10" i="1292"/>
  <c r="J4" i="1292"/>
  <c r="K28" i="1299"/>
  <c r="K20" i="1299"/>
  <c r="J24" i="1292"/>
  <c r="J26" i="1292" s="1"/>
  <c r="J18" i="1292"/>
  <c r="J20" i="1292" s="1"/>
  <c r="J12" i="1292"/>
  <c r="J14" i="1292" s="1"/>
  <c r="J6" i="1292"/>
  <c r="J8" i="1292" s="1"/>
  <c r="K22" i="1292" l="1"/>
  <c r="K16" i="1292"/>
  <c r="K10" i="1292"/>
  <c r="K4" i="1292"/>
  <c r="L28" i="1299"/>
  <c r="L20" i="1299"/>
  <c r="K24" i="1292"/>
  <c r="K26" i="1292" s="1"/>
  <c r="K18" i="1292"/>
  <c r="K20" i="1292" s="1"/>
  <c r="K12" i="1292"/>
  <c r="K14" i="1292" s="1"/>
  <c r="K6" i="1292"/>
  <c r="K8" i="1292" s="1"/>
  <c r="L22" i="1292" l="1"/>
  <c r="L16" i="1292"/>
  <c r="L10" i="1292"/>
  <c r="L4" i="1292"/>
  <c r="M28" i="1299"/>
  <c r="M20" i="1299"/>
  <c r="L24" i="1292"/>
  <c r="L26" i="1292" s="1"/>
  <c r="L18" i="1292"/>
  <c r="L20" i="1292" s="1"/>
  <c r="L12" i="1292"/>
  <c r="L14" i="1292" s="1"/>
  <c r="L6" i="1292"/>
  <c r="L8" i="1292" s="1"/>
  <c r="M22" i="1292" l="1"/>
  <c r="M16" i="1292"/>
  <c r="M10" i="1292"/>
  <c r="M4" i="1292"/>
  <c r="N28" i="1299"/>
  <c r="N20" i="1299"/>
  <c r="M24" i="1292"/>
  <c r="M26" i="1292" s="1"/>
  <c r="M18" i="1292"/>
  <c r="M20" i="1292" s="1"/>
  <c r="M12" i="1292"/>
  <c r="M14" i="1292" s="1"/>
  <c r="M6" i="1292"/>
  <c r="M8" i="1292" s="1"/>
  <c r="N22" i="1292" l="1"/>
  <c r="N16" i="1292"/>
  <c r="N10" i="1292"/>
  <c r="N4" i="1292"/>
  <c r="O28" i="1299"/>
  <c r="O20" i="1299"/>
  <c r="N24" i="1292"/>
  <c r="N26" i="1292" s="1"/>
  <c r="N18" i="1292"/>
  <c r="N20" i="1292" s="1"/>
  <c r="N12" i="1292"/>
  <c r="N14" i="1292" s="1"/>
  <c r="N6" i="1292"/>
  <c r="N8" i="1292" s="1"/>
  <c r="O22" i="1292" l="1"/>
  <c r="O16" i="1292"/>
  <c r="O10" i="1292"/>
  <c r="O4" i="1292"/>
  <c r="P28" i="1299"/>
  <c r="P20" i="1299"/>
  <c r="O24" i="1292"/>
  <c r="O26" i="1292" s="1"/>
  <c r="O18" i="1292"/>
  <c r="O20" i="1292" s="1"/>
  <c r="O12" i="1292"/>
  <c r="O14" i="1292" s="1"/>
  <c r="O6" i="1292"/>
  <c r="O8" i="1292" s="1"/>
  <c r="P22" i="1292" l="1"/>
  <c r="P16" i="1292"/>
  <c r="P10" i="1292"/>
  <c r="P4" i="1292"/>
  <c r="P24" i="1292"/>
  <c r="P18" i="1292"/>
  <c r="P12" i="1292"/>
  <c r="P6" i="1292"/>
  <c r="P7" i="1292"/>
  <c r="L7" i="1292"/>
  <c r="H7" i="1292"/>
  <c r="O7" i="1292"/>
  <c r="K7" i="1292"/>
  <c r="G7" i="1292"/>
  <c r="N7" i="1292"/>
  <c r="J7" i="1292"/>
  <c r="F7" i="1292"/>
  <c r="M7" i="1292"/>
  <c r="I7" i="1292"/>
  <c r="E7" i="1292"/>
  <c r="P8" i="1292"/>
  <c r="P13" i="1292"/>
  <c r="L13" i="1292"/>
  <c r="H13" i="1292"/>
  <c r="O13" i="1292"/>
  <c r="K13" i="1292"/>
  <c r="G13" i="1292"/>
  <c r="N13" i="1292"/>
  <c r="J13" i="1292"/>
  <c r="F13" i="1292"/>
  <c r="M13" i="1292"/>
  <c r="I13" i="1292"/>
  <c r="E13" i="1292"/>
  <c r="P14" i="1292"/>
  <c r="P19" i="1292"/>
  <c r="L19" i="1292"/>
  <c r="H19" i="1292"/>
  <c r="O19" i="1292"/>
  <c r="K19" i="1292"/>
  <c r="G19" i="1292"/>
  <c r="N19" i="1292"/>
  <c r="J19" i="1292"/>
  <c r="F19" i="1292"/>
  <c r="M19" i="1292"/>
  <c r="I19" i="1292"/>
  <c r="E19" i="1292"/>
  <c r="P20" i="1292"/>
  <c r="P25" i="1292"/>
  <c r="L25" i="1292"/>
  <c r="H25" i="1292"/>
  <c r="O25" i="1292"/>
  <c r="K25" i="1292"/>
  <c r="G25" i="1292"/>
  <c r="N25" i="1292"/>
  <c r="J25" i="1292"/>
  <c r="F25" i="1292"/>
  <c r="M25" i="1292"/>
  <c r="I25" i="1292"/>
  <c r="E25" i="1292"/>
  <c r="P26" i="1292"/>
</calcChain>
</file>

<file path=xl/sharedStrings.xml><?xml version="1.0" encoding="utf-8"?>
<sst xmlns="http://schemas.openxmlformats.org/spreadsheetml/2006/main" count="555" uniqueCount="290">
  <si>
    <t>add option for different types of financials - projections vs budget vs expected etc</t>
  </si>
  <si>
    <t>fileName(exclude extenstion)</t>
  </si>
  <si>
    <t>Is this financial document an operating, development or both? (please type o, d, or b)</t>
  </si>
  <si>
    <t>o</t>
  </si>
  <si>
    <t>lol</t>
  </si>
  <si>
    <t>Operating Assumptions</t>
  </si>
  <si>
    <t>Products</t>
  </si>
  <si>
    <t>Wholesale Distribution? Yes or no</t>
  </si>
  <si>
    <t>Events? Yes or no</t>
  </si>
  <si>
    <t>Ecommerce? Yes or no</t>
  </si>
  <si>
    <t>Staff</t>
  </si>
  <si>
    <t>Capitalization</t>
  </si>
  <si>
    <t>how many seed rounds?</t>
  </si>
  <si>
    <t>Overall Assumptions</t>
  </si>
  <si>
    <t>Sales Channels</t>
  </si>
  <si>
    <t>Assets</t>
  </si>
  <si>
    <t>yes</t>
  </si>
  <si>
    <t>Will there be retail stores? Yes or no</t>
  </si>
  <si>
    <t>How many products or services will be offered?</t>
  </si>
  <si>
    <t>How many specific roles in general sales &amp; marketing category?</t>
  </si>
  <si>
    <t>research &amp; development?</t>
  </si>
  <si>
    <t>overhead and management?</t>
  </si>
  <si>
    <t>how many tangible assets?</t>
  </si>
  <si>
    <t>how many intangible assets?</t>
  </si>
  <si>
    <t>make errors or validations for if input is not correct</t>
  </si>
  <si>
    <t>add error msg if sheet already exists when checking to add op assumptions or dev assumptions</t>
  </si>
  <si>
    <t>maybe: add example types to side?</t>
  </si>
  <si>
    <t>Income</t>
  </si>
  <si>
    <t>Other Expenses</t>
  </si>
  <si>
    <t>Financials</t>
  </si>
  <si>
    <t>Asset Investment</t>
  </si>
  <si>
    <t>Stores</t>
  </si>
  <si>
    <t>Base Number</t>
  </si>
  <si>
    <t>Initial Month</t>
  </si>
  <si>
    <t>Growth Frequency</t>
  </si>
  <si>
    <t>Growth Amount</t>
  </si>
  <si>
    <t>Sales Rate</t>
  </si>
  <si>
    <t>Base Units</t>
  </si>
  <si>
    <t>Initial Month of Sales</t>
  </si>
  <si>
    <t>Wholesale</t>
  </si>
  <si>
    <t>Conversion Rate</t>
  </si>
  <si>
    <t>Type</t>
  </si>
  <si>
    <t>Product Name</t>
  </si>
  <si>
    <t>Price and Revenue Share</t>
  </si>
  <si>
    <t>Price</t>
  </si>
  <si>
    <t>Annual Price Change</t>
  </si>
  <si>
    <t>Third Party Revenue Share</t>
  </si>
  <si>
    <t>Customer Acquisition Cost</t>
  </si>
  <si>
    <t>Sales Commission</t>
  </si>
  <si>
    <t>Sales per Month per Salesperson</t>
  </si>
  <si>
    <t>Sales Base Salary</t>
  </si>
  <si>
    <t>Cost of Good</t>
  </si>
  <si>
    <t>Cost</t>
  </si>
  <si>
    <t>Annual Cost Change</t>
  </si>
  <si>
    <t>Direct Labor Hours</t>
  </si>
  <si>
    <t>Direct Labor Wage per Hour</t>
  </si>
  <si>
    <t>Payment Processing Percentage</t>
  </si>
  <si>
    <t>Acct Mgmt &amp; Support by Revenue</t>
  </si>
  <si>
    <t>Acct Mgmt Employee Base Salary</t>
  </si>
  <si>
    <t>Name</t>
  </si>
  <si>
    <t>Job Title</t>
  </si>
  <si>
    <t>Base Salary</t>
  </si>
  <si>
    <t>Base Number of Employees</t>
  </si>
  <si>
    <t>Bonus and Other Employee Expenses</t>
  </si>
  <si>
    <t>Recruiting Costs</t>
  </si>
  <si>
    <t>Computer Equipment</t>
  </si>
  <si>
    <t>Software and Licensing</t>
  </si>
  <si>
    <t>Communication Services</t>
  </si>
  <si>
    <t>Travel &amp; Entertainment</t>
  </si>
  <si>
    <t>Outside Services</t>
  </si>
  <si>
    <t>Subscription and Dues</t>
  </si>
  <si>
    <t>Annual Bonus</t>
  </si>
  <si>
    <t>Benefits</t>
  </si>
  <si>
    <t>Tax Percentage</t>
  </si>
  <si>
    <t>Training Costs</t>
  </si>
  <si>
    <t>Annual Raise</t>
  </si>
  <si>
    <t>Employee Turnover Decimal</t>
  </si>
  <si>
    <t>Additional Ad &amp; Marketing</t>
  </si>
  <si>
    <t>Bank Fees</t>
  </si>
  <si>
    <t>Insurance</t>
  </si>
  <si>
    <t>License Fees &amp; Permits</t>
  </si>
  <si>
    <t>Legal &amp; Professional Fees</t>
  </si>
  <si>
    <t>Office Expenses &amp; Supplies</t>
  </si>
  <si>
    <t>Rent</t>
  </si>
  <si>
    <t>Miscellaneous</t>
  </si>
  <si>
    <t>Utilities</t>
  </si>
  <si>
    <t>Website</t>
  </si>
  <si>
    <t>Income Statement</t>
  </si>
  <si>
    <t>Interest Rate</t>
  </si>
  <si>
    <t>Discount Rate</t>
  </si>
  <si>
    <t>Bad Debt Percentage</t>
  </si>
  <si>
    <t>Existing Loss Carry Forward</t>
  </si>
  <si>
    <t>Balance Sheet</t>
  </si>
  <si>
    <t>Opening Cash Balance</t>
  </si>
  <si>
    <t>Acct Receivable Days</t>
  </si>
  <si>
    <t>Acct Payable Days</t>
  </si>
  <si>
    <t>Days of Inventory on Hand</t>
  </si>
  <si>
    <t>Furniture, Fixtures, &amp; Equipment</t>
  </si>
  <si>
    <t>Month Acquired</t>
  </si>
  <si>
    <t>CapEx</t>
  </si>
  <si>
    <t>Useful Life</t>
  </si>
  <si>
    <t>Intangible Assets</t>
  </si>
  <si>
    <t>Equity</t>
  </si>
  <si>
    <t>Seed 1</t>
  </si>
  <si>
    <t>Month</t>
  </si>
  <si>
    <t>Cash Amount</t>
  </si>
  <si>
    <t>Shares Amount</t>
  </si>
  <si>
    <t>Seed 2</t>
  </si>
  <si>
    <t>Debt</t>
  </si>
  <si>
    <t>Loan Amount</t>
  </si>
  <si>
    <t>Down Payment Percentage</t>
  </si>
  <si>
    <t>Length of Loan</t>
  </si>
  <si>
    <t>Exit Assumptions</t>
  </si>
  <si>
    <t>Founder Shares</t>
  </si>
  <si>
    <t>Convertible Note</t>
  </si>
  <si>
    <t>Liquidation Preference</t>
  </si>
  <si>
    <t>Exit Valuation Method</t>
  </si>
  <si>
    <t>Exit Valuation Multiple</t>
  </si>
  <si>
    <t>Product 1</t>
  </si>
  <si>
    <t>Product 2</t>
  </si>
  <si>
    <t>Product 3</t>
  </si>
  <si>
    <t>Product 4</t>
  </si>
  <si>
    <t>Asset 1</t>
  </si>
  <si>
    <t>EBITDA</t>
  </si>
  <si>
    <t>no</t>
  </si>
  <si>
    <t>Inventory</t>
  </si>
  <si>
    <t>Beginning Inventory</t>
  </si>
  <si>
    <t>Reorder Point</t>
  </si>
  <si>
    <t>Channels</t>
  </si>
  <si>
    <t>add different methods to drive sales - sales driven (foot traffic and visits) vs inventory turnover method</t>
  </si>
  <si>
    <t>Base Visitors</t>
  </si>
  <si>
    <t>Base %</t>
  </si>
  <si>
    <t>website is conversion is percentage and growth amount is percentage (convey this to user, already taken care of in software)</t>
  </si>
  <si>
    <t>formatting</t>
  </si>
  <si>
    <t>Basic additions</t>
  </si>
  <si>
    <t>Inventory additions</t>
  </si>
  <si>
    <t>Sales additions</t>
  </si>
  <si>
    <t>option to break down sales and inv by channel within each product</t>
  </si>
  <si>
    <t>Other additions</t>
  </si>
  <si>
    <t>make wholesale options appear only if  wholesale channel is yes</t>
  </si>
  <si>
    <t>incorporate annual price raise</t>
  </si>
  <si>
    <t>Cost additions</t>
  </si>
  <si>
    <t>invetory cost method as well for one by channel and one by inv turnover</t>
  </si>
  <si>
    <t>add annual cost raise</t>
  </si>
  <si>
    <t>add discounts</t>
  </si>
  <si>
    <t>add and delete products</t>
  </si>
  <si>
    <t>add and delete channels</t>
  </si>
  <si>
    <t>add and delete employees</t>
  </si>
  <si>
    <t xml:space="preserve">add and delete assets </t>
  </si>
  <si>
    <t>add and delete expenses</t>
  </si>
  <si>
    <t>add and delete rds of funding</t>
  </si>
  <si>
    <t>add account support mgmt to cost incrementally</t>
  </si>
  <si>
    <t>Asset 2</t>
  </si>
  <si>
    <t>inv cost added row for products</t>
  </si>
  <si>
    <t>total inventory cost</t>
  </si>
  <si>
    <t>Asset 3</t>
  </si>
  <si>
    <t>Asset 4</t>
  </si>
  <si>
    <t>Loan additions</t>
  </si>
  <si>
    <t>add different types of loans, different options</t>
  </si>
  <si>
    <t>add ability to have multiple loans</t>
  </si>
  <si>
    <t>add period of pmts in a year assumption</t>
  </si>
  <si>
    <t>add additional pmts to fit into equation</t>
  </si>
  <si>
    <t>General_Sales_and_Marketing</t>
  </si>
  <si>
    <t>General_Sales_and_Marketing1</t>
  </si>
  <si>
    <t>General_Sales_and_Marketing2</t>
  </si>
  <si>
    <t>Research_and_Development</t>
  </si>
  <si>
    <t>Research_and_Development1</t>
  </si>
  <si>
    <t>Overhead</t>
  </si>
  <si>
    <t>Overhead1</t>
  </si>
  <si>
    <t>Employee additions</t>
  </si>
  <si>
    <t>make sure user knows job title cant have spaces or fix in python with a split and join</t>
  </si>
  <si>
    <t>add contractors option to take out taxes and benefits</t>
  </si>
  <si>
    <t>General_Sales_and_Marketing3</t>
  </si>
  <si>
    <t>Research_and_Development2</t>
  </si>
  <si>
    <t>Shipping Expense</t>
  </si>
  <si>
    <t>P&amp;L additions</t>
  </si>
  <si>
    <t>add ability to add other fixed expenses</t>
  </si>
  <si>
    <t xml:space="preserve">figure out how to incorporate pref </t>
  </si>
  <si>
    <t>incorporate taxes</t>
  </si>
  <si>
    <t>add discount rate, bad debt, and interest income</t>
  </si>
  <si>
    <t>BS additions</t>
  </si>
  <si>
    <t>add ability to add the initial month to loan</t>
  </si>
  <si>
    <t>Starting Units</t>
  </si>
  <si>
    <t>Units Sold</t>
  </si>
  <si>
    <t>Units Added</t>
  </si>
  <si>
    <t>$ Inv Added</t>
  </si>
  <si>
    <t>Remaining</t>
  </si>
  <si>
    <t>Total Inventory Cost Added</t>
  </si>
  <si>
    <t>Sales Detail</t>
  </si>
  <si>
    <t>Retail Price</t>
  </si>
  <si>
    <t>WS Price</t>
  </si>
  <si>
    <t>Total Sales</t>
  </si>
  <si>
    <t>Retail Units</t>
  </si>
  <si>
    <t>WS Units</t>
  </si>
  <si>
    <t>Total Retail Sales</t>
  </si>
  <si>
    <t>Total WS Sales</t>
  </si>
  <si>
    <t>Total All Sales</t>
  </si>
  <si>
    <t>Cost Detail</t>
  </si>
  <si>
    <t>Units Ordered</t>
  </si>
  <si>
    <t>Discount</t>
  </si>
  <si>
    <t>Monthly Units</t>
  </si>
  <si>
    <t>Monthly Cost</t>
  </si>
  <si>
    <t>Total Cost</t>
  </si>
  <si>
    <t>Employees</t>
  </si>
  <si>
    <t>Full Time</t>
  </si>
  <si>
    <t>Taxes &amp; Benefits</t>
  </si>
  <si>
    <t>Total Employee Cost</t>
  </si>
  <si>
    <t>Asset Schedule</t>
  </si>
  <si>
    <t>Depreciation</t>
  </si>
  <si>
    <t>Total</t>
  </si>
  <si>
    <t>Amortization</t>
  </si>
  <si>
    <t>Loan Schedule</t>
  </si>
  <si>
    <t>Period</t>
  </si>
  <si>
    <t>PMT</t>
  </si>
  <si>
    <t>Interest Paid</t>
  </si>
  <si>
    <t>Principal</t>
  </si>
  <si>
    <t>Balance</t>
  </si>
  <si>
    <t>Annual Rate</t>
  </si>
  <si>
    <t>Additional Payment</t>
  </si>
  <si>
    <t>Projected Income Statement</t>
  </si>
  <si>
    <t>Total Income</t>
  </si>
  <si>
    <t>Total Cost of Sales</t>
  </si>
  <si>
    <t>Gross Margin</t>
  </si>
  <si>
    <t>Fixed Business Expenses</t>
  </si>
  <si>
    <t>Total Fixed Business Expenses</t>
  </si>
  <si>
    <t>Prefered Return</t>
  </si>
  <si>
    <t>Interest</t>
  </si>
  <si>
    <t>Tax</t>
  </si>
  <si>
    <t>Total Other Expenses</t>
  </si>
  <si>
    <t>Net Income</t>
  </si>
  <si>
    <t>Current Assets</t>
  </si>
  <si>
    <t>Cash</t>
  </si>
  <si>
    <t>Accounts Receivable</t>
  </si>
  <si>
    <t>Raw Materials</t>
  </si>
  <si>
    <t>Prepaid Expenses</t>
  </si>
  <si>
    <t>Other Current</t>
  </si>
  <si>
    <t>Total Current Assets</t>
  </si>
  <si>
    <t>Total Intangible Assets</t>
  </si>
  <si>
    <t>Less: Accumulated Amortization</t>
  </si>
  <si>
    <t>Fixed Assets</t>
  </si>
  <si>
    <t>Total Fixed Assets</t>
  </si>
  <si>
    <t>Less: Accumulated Depreciation</t>
  </si>
  <si>
    <t>Total Assets</t>
  </si>
  <si>
    <t>Liabilities and Owner's Equity</t>
  </si>
  <si>
    <t>Liabilities</t>
  </si>
  <si>
    <t>Accounts Payable</t>
  </si>
  <si>
    <t>Loan Payable</t>
  </si>
  <si>
    <t>Mortgage Payable</t>
  </si>
  <si>
    <t>Credit Card Debt</t>
  </si>
  <si>
    <t>Line of Credit Balance</t>
  </si>
  <si>
    <t>Total Liabilities</t>
  </si>
  <si>
    <t>Owner's Equity</t>
  </si>
  <si>
    <t>Capital Stock</t>
  </si>
  <si>
    <t>Retained Earnings</t>
  </si>
  <si>
    <t>Total Owner's Equity</t>
  </si>
  <si>
    <t>Total Liabilities and Owner's Equity</t>
  </si>
  <si>
    <t>Cash Flow Statement</t>
  </si>
  <si>
    <t>Beginning Cash Balance</t>
  </si>
  <si>
    <t>Cash Inflows</t>
  </si>
  <si>
    <t>Income from Sales</t>
  </si>
  <si>
    <t>Change in A/R</t>
  </si>
  <si>
    <t>Total Cash Inflows</t>
  </si>
  <si>
    <t>Cash Outflows</t>
  </si>
  <si>
    <t>New Fixed Asset Purchases</t>
  </si>
  <si>
    <t>Change in Raw Materials</t>
  </si>
  <si>
    <t>Change in Inventory</t>
  </si>
  <si>
    <t>Change in A/P</t>
  </si>
  <si>
    <t>Cost of Sales</t>
  </si>
  <si>
    <t>Total Salary and Related</t>
  </si>
  <si>
    <t>Preferred Return</t>
  </si>
  <si>
    <t>Loan Interest</t>
  </si>
  <si>
    <t>Taxes</t>
  </si>
  <si>
    <t>Total Cash Outflows</t>
  </si>
  <si>
    <t>Add: Amortization</t>
  </si>
  <si>
    <t>Add: Depreciation</t>
  </si>
  <si>
    <t>Net Cash Flow</t>
  </si>
  <si>
    <t>Equity Financing</t>
  </si>
  <si>
    <t>Loan</t>
  </si>
  <si>
    <t>Interest Income</t>
  </si>
  <si>
    <t>Short Term Borrowing</t>
  </si>
  <si>
    <t>Short Term Repayments</t>
  </si>
  <si>
    <t>Ending Cash Balance</t>
  </si>
  <si>
    <t>do something with raw materials</t>
  </si>
  <si>
    <t>CF additions</t>
  </si>
  <si>
    <t>pref &amp; taxes - use similar formulas as loan interest</t>
  </si>
  <si>
    <t>incorp interest income, short term borrowing and repayments</t>
  </si>
  <si>
    <t>use LOC</t>
  </si>
  <si>
    <t>sell through and markups/markdowns (can I convert inventory and sales  and cost to this?)</t>
  </si>
  <si>
    <t>detailed daily cf (updated from qb api or reports scrape and add to this)</t>
  </si>
  <si>
    <t>actual vs expected (on all?)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</si>
</sst>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8" formatCode="&quot;$&quot;#,##0.00_);[Red]\(&quot;$&quot;#,##0.00\)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3" borderId="0" xfId="0" applyFill="1"/>
    <xf numFmtId="0" fontId="0" fillId="0" borderId="0" xfId="0" applyFont="1"/>
    <xf numFmtId="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26</xdr:row>
          <xdr:rowOff>104775</xdr:rowOff>
        </xdr:from>
        <xdr:to>
          <xdr:col>3</xdr:col>
          <xdr:colOff>323850</xdr:colOff>
          <xdr:row>29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Assumptions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24</xdr:col>
          <xdr:colOff>0</xdr:colOff>
          <xdr:row>5</xdr:row>
          <xdr:rowOff>0</xdr:rowOff>
        </xdr:to>
        <xdr:sp macro="" textlink="">
          <xdr:nvSpPr>
            <xdr:cNvPr id="547841" name="Projections Button" hidden="1">
              <a:extLst>
                <a:ext uri="{63B3BB69-23CF-44E3-9099-C40C66FF867C}">
                  <a14:compatExt spid="_x0000_s547841"/>
                </a:ext>
                <a:ext uri="{FF2B5EF4-FFF2-40B4-BE49-F238E27FC236}">
                  <a16:creationId xmlns:a16="http://schemas.microsoft.com/office/drawing/2014/main" id="{00000000-0008-0000-0200-0000015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Projections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0"/>
  <sheetViews>
    <sheetView tabSelected="1" topLeftCell="A16" workbookViewId="0">
      <selection activeCell="A43" sqref="A43"/>
    </sheetView>
  </sheetViews>
  <sheetFormatPr defaultRowHeight="15" x14ac:dyDescent="0.25"/>
  <sheetData>
    <row r="1" spans="1:1" x14ac:dyDescent="0.25">
      <c r="A1" s="2" t="s">
        <v>134</v>
      </c>
    </row>
    <row r="2" spans="1:1" x14ac:dyDescent="0.25">
      <c r="A2" t="s">
        <v>0</v>
      </c>
    </row>
    <row r="3" spans="1:1" x14ac:dyDescent="0.25">
      <c r="A3" t="s">
        <v>24</v>
      </c>
    </row>
    <row r="4" spans="1:1" x14ac:dyDescent="0.25">
      <c r="A4" t="s">
        <v>25</v>
      </c>
    </row>
    <row r="5" spans="1:1" x14ac:dyDescent="0.25">
      <c r="A5" t="s">
        <v>26</v>
      </c>
    </row>
    <row r="6" spans="1:1" x14ac:dyDescent="0.25">
      <c r="A6" t="s">
        <v>132</v>
      </c>
    </row>
    <row r="7" spans="1:1" x14ac:dyDescent="0.25">
      <c r="A7" t="s">
        <v>133</v>
      </c>
    </row>
    <row r="8" spans="1:1" x14ac:dyDescent="0.25">
      <c r="A8" s="2" t="s">
        <v>135</v>
      </c>
    </row>
    <row r="9" spans="1:1" x14ac:dyDescent="0.25">
      <c r="A9" t="s">
        <v>129</v>
      </c>
    </row>
    <row r="10" spans="1:1" x14ac:dyDescent="0.25">
      <c r="A10" t="s">
        <v>153</v>
      </c>
    </row>
    <row r="11" spans="1:1" x14ac:dyDescent="0.25">
      <c r="A11" t="s">
        <v>154</v>
      </c>
    </row>
    <row r="12" spans="1:1" x14ac:dyDescent="0.25">
      <c r="A12" s="2" t="s">
        <v>136</v>
      </c>
    </row>
    <row r="13" spans="1:1" x14ac:dyDescent="0.25">
      <c r="A13" t="s">
        <v>137</v>
      </c>
    </row>
    <row r="14" spans="1:1" x14ac:dyDescent="0.25">
      <c r="A14" s="5" t="s">
        <v>139</v>
      </c>
    </row>
    <row r="15" spans="1:1" x14ac:dyDescent="0.25">
      <c r="A15" s="5" t="s">
        <v>140</v>
      </c>
    </row>
    <row r="16" spans="1:1" x14ac:dyDescent="0.25">
      <c r="A16" s="2" t="s">
        <v>141</v>
      </c>
    </row>
    <row r="17" spans="1:1" x14ac:dyDescent="0.25">
      <c r="A17" s="5" t="s">
        <v>142</v>
      </c>
    </row>
    <row r="18" spans="1:1" x14ac:dyDescent="0.25">
      <c r="A18" s="5" t="s">
        <v>143</v>
      </c>
    </row>
    <row r="19" spans="1:1" x14ac:dyDescent="0.25">
      <c r="A19" s="5" t="s">
        <v>144</v>
      </c>
    </row>
    <row r="20" spans="1:1" x14ac:dyDescent="0.25">
      <c r="A20" s="5" t="s">
        <v>151</v>
      </c>
    </row>
    <row r="21" spans="1:1" x14ac:dyDescent="0.25">
      <c r="A21" s="2" t="s">
        <v>169</v>
      </c>
    </row>
    <row r="22" spans="1:1" x14ac:dyDescent="0.25">
      <c r="A22" s="5" t="s">
        <v>170</v>
      </c>
    </row>
    <row r="23" spans="1:1" x14ac:dyDescent="0.25">
      <c r="A23" s="5" t="s">
        <v>171</v>
      </c>
    </row>
    <row r="24" spans="1:1" s="2" customFormat="1" x14ac:dyDescent="0.25">
      <c r="A24" s="2" t="s">
        <v>157</v>
      </c>
    </row>
    <row r="25" spans="1:1" s="5" customFormat="1" x14ac:dyDescent="0.25">
      <c r="A25" s="5" t="s">
        <v>160</v>
      </c>
    </row>
    <row r="26" spans="1:1" s="5" customFormat="1" x14ac:dyDescent="0.25">
      <c r="A26" s="5" t="s">
        <v>161</v>
      </c>
    </row>
    <row r="27" spans="1:1" s="2" customFormat="1" x14ac:dyDescent="0.25">
      <c r="A27" s="5" t="s">
        <v>159</v>
      </c>
    </row>
    <row r="28" spans="1:1" x14ac:dyDescent="0.25">
      <c r="A28" s="5" t="s">
        <v>158</v>
      </c>
    </row>
    <row r="29" spans="1:1" x14ac:dyDescent="0.25">
      <c r="A29" s="2" t="s">
        <v>175</v>
      </c>
    </row>
    <row r="30" spans="1:1" x14ac:dyDescent="0.25">
      <c r="A30" s="5" t="s">
        <v>176</v>
      </c>
    </row>
    <row r="31" spans="1:1" x14ac:dyDescent="0.25">
      <c r="A31" s="5" t="s">
        <v>177</v>
      </c>
    </row>
    <row r="32" spans="1:1" x14ac:dyDescent="0.25">
      <c r="A32" s="5" t="s">
        <v>178</v>
      </c>
    </row>
    <row r="33" spans="1:1" x14ac:dyDescent="0.25">
      <c r="A33" s="5" t="s">
        <v>179</v>
      </c>
    </row>
    <row r="34" spans="1:1" x14ac:dyDescent="0.25">
      <c r="A34" s="2" t="s">
        <v>180</v>
      </c>
    </row>
    <row r="35" spans="1:1" x14ac:dyDescent="0.25">
      <c r="A35" s="5" t="s">
        <v>181</v>
      </c>
    </row>
    <row r="36" spans="1:1" x14ac:dyDescent="0.25">
      <c r="A36" s="5" t="s">
        <v>282</v>
      </c>
    </row>
    <row r="37" spans="1:1" x14ac:dyDescent="0.25">
      <c r="A37" s="2" t="s">
        <v>283</v>
      </c>
    </row>
    <row r="38" spans="1:1" x14ac:dyDescent="0.25">
      <c r="A38" s="5" t="s">
        <v>284</v>
      </c>
    </row>
    <row r="39" spans="1:1" x14ac:dyDescent="0.25">
      <c r="A39" s="5" t="s">
        <v>285</v>
      </c>
    </row>
    <row r="40" spans="1:1" x14ac:dyDescent="0.25">
      <c r="A40" s="5" t="s">
        <v>286</v>
      </c>
    </row>
    <row r="41" spans="1:1" x14ac:dyDescent="0.25">
      <c r="A41" s="2" t="s">
        <v>138</v>
      </c>
    </row>
    <row r="42" spans="1:1" x14ac:dyDescent="0.25">
      <c r="A42" t="s">
        <v>289</v>
      </c>
    </row>
    <row r="43" spans="1:1" x14ac:dyDescent="0.25">
      <c r="A43" t="s">
        <v>287</v>
      </c>
    </row>
    <row r="44" spans="1:1" x14ac:dyDescent="0.25">
      <c r="A44" t="s">
        <v>288</v>
      </c>
    </row>
    <row r="45" spans="1:1" x14ac:dyDescent="0.25">
      <c r="A45" t="s">
        <v>145</v>
      </c>
    </row>
    <row r="46" spans="1:1" x14ac:dyDescent="0.25">
      <c r="A46" t="s">
        <v>146</v>
      </c>
    </row>
    <row r="47" spans="1:1" x14ac:dyDescent="0.25">
      <c r="A47" t="s">
        <v>147</v>
      </c>
    </row>
    <row r="48" spans="1:1" x14ac:dyDescent="0.25">
      <c r="A48" t="s">
        <v>148</v>
      </c>
    </row>
    <row r="49" spans="1:1" x14ac:dyDescent="0.25">
      <c r="A49" t="s">
        <v>149</v>
      </c>
    </row>
    <row r="50" spans="1:1" x14ac:dyDescent="0.25">
      <c r="A50" t="s">
        <v>150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25"/>
  <sheetViews>
    <sheetView workbookViewId="0">
      <selection activeCell="C17" sqref="C17"/>
    </sheetView>
  </sheetViews>
  <sheetFormatPr defaultRowHeight="15" x14ac:dyDescent="0.25"/>
  <cols>
    <col min="1" max="1" width="78.5703125" bestFit="1" customWidth="1"/>
  </cols>
  <sheetData>
    <row r="1" spans="1:2" x14ac:dyDescent="0.25">
      <c r="A1" s="2" t="s">
        <v>13</v>
      </c>
    </row>
    <row r="2" spans="1:2" x14ac:dyDescent="0.25">
      <c r="A2" t="s">
        <v>1</v>
      </c>
      <c r="B2" s="1" t="s">
        <v>4</v>
      </c>
    </row>
    <row r="3" spans="1:2" x14ac:dyDescent="0.25">
      <c r="A3" t="s">
        <v>2</v>
      </c>
      <c r="B3" s="1" t="s">
        <v>3</v>
      </c>
    </row>
    <row r="5" spans="1:2" x14ac:dyDescent="0.25">
      <c r="A5" s="2" t="s">
        <v>5</v>
      </c>
    </row>
    <row r="6" spans="1:2" x14ac:dyDescent="0.25">
      <c r="A6" s="3" t="s">
        <v>14</v>
      </c>
    </row>
    <row r="7" spans="1:2" x14ac:dyDescent="0.25">
      <c r="A7" t="s">
        <v>17</v>
      </c>
      <c r="B7" s="1" t="s">
        <v>16</v>
      </c>
    </row>
    <row r="8" spans="1:2" x14ac:dyDescent="0.25">
      <c r="A8" t="s">
        <v>7</v>
      </c>
      <c r="B8" s="1" t="s">
        <v>16</v>
      </c>
    </row>
    <row r="9" spans="1:2" x14ac:dyDescent="0.25">
      <c r="A9" t="s">
        <v>8</v>
      </c>
      <c r="B9" s="1" t="s">
        <v>124</v>
      </c>
    </row>
    <row r="10" spans="1:2" x14ac:dyDescent="0.25">
      <c r="A10" t="s">
        <v>9</v>
      </c>
      <c r="B10" s="1" t="s">
        <v>16</v>
      </c>
    </row>
    <row r="12" spans="1:2" x14ac:dyDescent="0.25">
      <c r="A12" s="3" t="s">
        <v>6</v>
      </c>
    </row>
    <row r="13" spans="1:2" x14ac:dyDescent="0.25">
      <c r="A13" t="s">
        <v>18</v>
      </c>
      <c r="B13" s="1">
        <v>4</v>
      </c>
    </row>
    <row r="15" spans="1:2" x14ac:dyDescent="0.25">
      <c r="A15" s="3" t="s">
        <v>10</v>
      </c>
    </row>
    <row r="16" spans="1:2" x14ac:dyDescent="0.25">
      <c r="A16" t="s">
        <v>19</v>
      </c>
      <c r="B16" s="1">
        <v>3</v>
      </c>
    </row>
    <row r="17" spans="1:2" x14ac:dyDescent="0.25">
      <c r="A17" t="s">
        <v>20</v>
      </c>
      <c r="B17" s="1">
        <v>2</v>
      </c>
    </row>
    <row r="18" spans="1:2" x14ac:dyDescent="0.25">
      <c r="A18" t="s">
        <v>21</v>
      </c>
      <c r="B18" s="1">
        <v>1</v>
      </c>
    </row>
    <row r="20" spans="1:2" x14ac:dyDescent="0.25">
      <c r="A20" s="3" t="s">
        <v>15</v>
      </c>
    </row>
    <row r="21" spans="1:2" x14ac:dyDescent="0.25">
      <c r="A21" t="s">
        <v>22</v>
      </c>
      <c r="B21" s="1">
        <v>3</v>
      </c>
    </row>
    <row r="22" spans="1:2" x14ac:dyDescent="0.25">
      <c r="A22" t="s">
        <v>23</v>
      </c>
      <c r="B22" s="1">
        <v>4</v>
      </c>
    </row>
    <row r="24" spans="1:2" x14ac:dyDescent="0.25">
      <c r="A24" s="3" t="s">
        <v>11</v>
      </c>
    </row>
    <row r="25" spans="1:2" x14ac:dyDescent="0.25">
      <c r="A25" t="s">
        <v>12</v>
      </c>
      <c r="B25" s="1">
        <v>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Assumptions">
                <anchor moveWithCells="1" sizeWithCells="1">
                  <from>
                    <xdr:col>1</xdr:col>
                    <xdr:colOff>104775</xdr:colOff>
                    <xdr:row>26</xdr:row>
                    <xdr:rowOff>104775</xdr:rowOff>
                  </from>
                  <to>
                    <xdr:col>3</xdr:col>
                    <xdr:colOff>323850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114"/>
  <sheetViews>
    <sheetView topLeftCell="F1" workbookViewId="0"/>
  </sheetViews>
  <sheetFormatPr defaultRowHeight="15" x14ac:dyDescent="0.25"/>
  <cols>
    <col min="1" max="1" width="22.140625" bestFit="1" customWidth="1"/>
    <col min="2" max="2" width="3" bestFit="1" customWidth="1"/>
    <col min="4" max="4" width="31.140625" bestFit="1" customWidth="1"/>
    <col min="5" max="5" width="9.28515625" bestFit="1" customWidth="1"/>
    <col min="7" max="7" width="34.5703125" bestFit="1" customWidth="1"/>
    <col min="8" max="8" width="29.42578125" bestFit="1" customWidth="1"/>
    <col min="10" max="10" width="25.5703125" bestFit="1" customWidth="1"/>
    <col min="11" max="11" width="5" bestFit="1" customWidth="1"/>
    <col min="13" max="13" width="25.140625" bestFit="1" customWidth="1"/>
    <col min="14" max="14" width="5" bestFit="1" customWidth="1"/>
    <col min="16" max="16" width="30.7109375" bestFit="1" customWidth="1"/>
    <col min="17" max="17" width="7.28515625" bestFit="1" customWidth="1"/>
    <col min="19" max="19" width="25.28515625" bestFit="1" customWidth="1"/>
    <col min="20" max="20" width="8" bestFit="1" customWidth="1"/>
  </cols>
  <sheetData>
    <row r="1" spans="1:20" x14ac:dyDescent="0.25">
      <c r="A1" t="s">
        <v>5</v>
      </c>
    </row>
    <row r="2" spans="1:20" x14ac:dyDescent="0.25">
      <c r="A2" t="s">
        <v>27</v>
      </c>
      <c r="D2" t="s">
        <v>6</v>
      </c>
      <c r="G2" t="s">
        <v>10</v>
      </c>
      <c r="J2" t="s">
        <v>28</v>
      </c>
      <c r="M2" t="s">
        <v>29</v>
      </c>
      <c r="P2" t="s">
        <v>30</v>
      </c>
      <c r="S2" t="s">
        <v>11</v>
      </c>
    </row>
    <row r="3" spans="1:20" x14ac:dyDescent="0.25">
      <c r="A3" t="s">
        <v>31</v>
      </c>
      <c r="D3" t="s">
        <v>41</v>
      </c>
      <c r="G3" t="s">
        <v>162</v>
      </c>
      <c r="M3" t="s">
        <v>87</v>
      </c>
      <c r="P3" t="s">
        <v>97</v>
      </c>
      <c r="S3" t="s">
        <v>102</v>
      </c>
    </row>
    <row r="4" spans="1:20" x14ac:dyDescent="0.25">
      <c r="A4" t="s">
        <v>32</v>
      </c>
      <c r="B4" s="4">
        <v>1</v>
      </c>
      <c r="D4" t="s">
        <v>42</v>
      </c>
      <c r="E4" s="4" t="s">
        <v>118</v>
      </c>
      <c r="G4" t="s">
        <v>60</v>
      </c>
      <c r="H4" s="4" t="s">
        <v>163</v>
      </c>
      <c r="J4" t="s">
        <v>77</v>
      </c>
      <c r="K4" s="4">
        <v>3000</v>
      </c>
      <c r="M4" t="s">
        <v>88</v>
      </c>
      <c r="N4" s="4">
        <v>4.25</v>
      </c>
      <c r="P4" t="s">
        <v>59</v>
      </c>
      <c r="Q4" s="4" t="s">
        <v>122</v>
      </c>
      <c r="S4" t="s">
        <v>103</v>
      </c>
    </row>
    <row r="5" spans="1:20" x14ac:dyDescent="0.25">
      <c r="A5" t="s">
        <v>33</v>
      </c>
      <c r="B5" s="4">
        <v>1</v>
      </c>
      <c r="D5" t="s">
        <v>43</v>
      </c>
      <c r="G5" t="s">
        <v>61</v>
      </c>
      <c r="H5" s="4">
        <v>40000</v>
      </c>
      <c r="J5" t="s">
        <v>78</v>
      </c>
      <c r="K5" s="4">
        <v>300</v>
      </c>
      <c r="M5" t="s">
        <v>89</v>
      </c>
      <c r="N5" s="4">
        <v>0.02</v>
      </c>
      <c r="P5" t="s">
        <v>98</v>
      </c>
      <c r="Q5" s="4">
        <v>1</v>
      </c>
      <c r="S5" t="s">
        <v>104</v>
      </c>
      <c r="T5" s="4">
        <v>1</v>
      </c>
    </row>
    <row r="6" spans="1:20" x14ac:dyDescent="0.25">
      <c r="A6" t="s">
        <v>34</v>
      </c>
      <c r="B6" s="4">
        <v>1</v>
      </c>
      <c r="D6" t="s">
        <v>44</v>
      </c>
      <c r="E6" s="4">
        <v>20</v>
      </c>
      <c r="G6" t="s">
        <v>62</v>
      </c>
      <c r="H6" s="4">
        <v>1</v>
      </c>
      <c r="J6" t="s">
        <v>79</v>
      </c>
      <c r="K6" s="4">
        <v>274</v>
      </c>
      <c r="M6" t="s">
        <v>90</v>
      </c>
      <c r="N6" s="4">
        <v>0.01</v>
      </c>
      <c r="P6" t="s">
        <v>99</v>
      </c>
      <c r="Q6" s="4">
        <v>10000</v>
      </c>
      <c r="S6" t="s">
        <v>105</v>
      </c>
      <c r="T6" s="4">
        <v>160000</v>
      </c>
    </row>
    <row r="7" spans="1:20" x14ac:dyDescent="0.25">
      <c r="A7" t="s">
        <v>35</v>
      </c>
      <c r="B7" s="4">
        <v>1</v>
      </c>
      <c r="D7" t="s">
        <v>45</v>
      </c>
      <c r="E7" s="4">
        <v>0</v>
      </c>
      <c r="G7" t="s">
        <v>33</v>
      </c>
      <c r="H7" s="4">
        <v>1</v>
      </c>
      <c r="J7" t="s">
        <v>80</v>
      </c>
      <c r="K7" s="4">
        <v>0</v>
      </c>
      <c r="M7" t="s">
        <v>91</v>
      </c>
      <c r="N7" s="4">
        <v>0</v>
      </c>
      <c r="P7" t="s">
        <v>100</v>
      </c>
      <c r="Q7" s="4">
        <v>5</v>
      </c>
      <c r="S7" t="s">
        <v>106</v>
      </c>
      <c r="T7" s="4">
        <v>1000000</v>
      </c>
    </row>
    <row r="8" spans="1:20" x14ac:dyDescent="0.25">
      <c r="A8" t="s">
        <v>36</v>
      </c>
      <c r="D8" t="s">
        <v>46</v>
      </c>
      <c r="E8" s="4">
        <v>0</v>
      </c>
      <c r="G8" t="s">
        <v>34</v>
      </c>
      <c r="H8" s="4">
        <v>6</v>
      </c>
      <c r="J8" t="s">
        <v>81</v>
      </c>
      <c r="K8" s="4">
        <v>500</v>
      </c>
      <c r="M8" t="s">
        <v>92</v>
      </c>
      <c r="P8" t="s">
        <v>59</v>
      </c>
      <c r="Q8" s="4" t="s">
        <v>152</v>
      </c>
      <c r="S8" t="s">
        <v>107</v>
      </c>
    </row>
    <row r="9" spans="1:20" x14ac:dyDescent="0.25">
      <c r="A9" t="s">
        <v>37</v>
      </c>
      <c r="B9" s="4">
        <v>10</v>
      </c>
      <c r="D9" t="s">
        <v>47</v>
      </c>
      <c r="G9" t="s">
        <v>35</v>
      </c>
      <c r="H9" s="4">
        <v>1</v>
      </c>
      <c r="J9" t="s">
        <v>82</v>
      </c>
      <c r="K9" s="4">
        <v>100</v>
      </c>
      <c r="M9" t="s">
        <v>93</v>
      </c>
      <c r="N9" s="4">
        <v>0</v>
      </c>
      <c r="P9" t="s">
        <v>98</v>
      </c>
      <c r="Q9" s="4">
        <v>1</v>
      </c>
      <c r="S9" t="s">
        <v>104</v>
      </c>
      <c r="T9" s="4">
        <v>2</v>
      </c>
    </row>
    <row r="10" spans="1:20" x14ac:dyDescent="0.25">
      <c r="A10" t="s">
        <v>38</v>
      </c>
      <c r="B10" s="4">
        <v>1</v>
      </c>
      <c r="D10" t="s">
        <v>48</v>
      </c>
      <c r="E10" s="4">
        <v>0</v>
      </c>
      <c r="G10" t="s">
        <v>60</v>
      </c>
      <c r="H10" s="4" t="s">
        <v>164</v>
      </c>
      <c r="J10" t="s">
        <v>83</v>
      </c>
      <c r="K10" s="4">
        <v>3000</v>
      </c>
      <c r="M10" t="s">
        <v>94</v>
      </c>
      <c r="N10" s="4">
        <v>30</v>
      </c>
      <c r="P10" t="s">
        <v>99</v>
      </c>
      <c r="Q10" s="4">
        <v>10000</v>
      </c>
      <c r="S10" t="s">
        <v>105</v>
      </c>
      <c r="T10" s="4">
        <v>160000</v>
      </c>
    </row>
    <row r="11" spans="1:20" x14ac:dyDescent="0.25">
      <c r="A11" t="s">
        <v>34</v>
      </c>
      <c r="B11" s="4">
        <v>1</v>
      </c>
      <c r="D11" t="s">
        <v>49</v>
      </c>
      <c r="E11" s="4">
        <v>0</v>
      </c>
      <c r="G11" t="s">
        <v>61</v>
      </c>
      <c r="H11" s="4">
        <v>40000</v>
      </c>
      <c r="J11" t="s">
        <v>84</v>
      </c>
      <c r="K11" s="4">
        <v>0</v>
      </c>
      <c r="M11" t="s">
        <v>95</v>
      </c>
      <c r="N11" s="4">
        <v>60</v>
      </c>
      <c r="P11" t="s">
        <v>100</v>
      </c>
      <c r="Q11" s="4">
        <v>5</v>
      </c>
      <c r="S11" t="s">
        <v>106</v>
      </c>
      <c r="T11" s="4">
        <v>1000000</v>
      </c>
    </row>
    <row r="12" spans="1:20" x14ac:dyDescent="0.25">
      <c r="A12" t="s">
        <v>35</v>
      </c>
      <c r="B12" s="4">
        <v>10</v>
      </c>
      <c r="D12" t="s">
        <v>50</v>
      </c>
      <c r="E12" s="4">
        <v>0</v>
      </c>
      <c r="G12" t="s">
        <v>62</v>
      </c>
      <c r="H12" s="4">
        <v>1</v>
      </c>
      <c r="J12" t="s">
        <v>85</v>
      </c>
      <c r="K12" s="4">
        <v>300</v>
      </c>
      <c r="M12" t="s">
        <v>96</v>
      </c>
      <c r="N12" s="4">
        <v>60</v>
      </c>
      <c r="P12" t="s">
        <v>59</v>
      </c>
      <c r="Q12" s="4" t="s">
        <v>155</v>
      </c>
      <c r="S12" t="s">
        <v>108</v>
      </c>
    </row>
    <row r="13" spans="1:20" x14ac:dyDescent="0.25">
      <c r="A13" t="s">
        <v>39</v>
      </c>
      <c r="D13" t="s">
        <v>51</v>
      </c>
      <c r="G13" t="s">
        <v>33</v>
      </c>
      <c r="H13" s="4">
        <v>1</v>
      </c>
      <c r="J13" t="s">
        <v>86</v>
      </c>
      <c r="K13" s="4">
        <v>100</v>
      </c>
      <c r="P13" t="s">
        <v>98</v>
      </c>
      <c r="Q13" s="4">
        <v>1</v>
      </c>
      <c r="S13" t="s">
        <v>109</v>
      </c>
      <c r="T13" s="4">
        <v>500000</v>
      </c>
    </row>
    <row r="14" spans="1:20" x14ac:dyDescent="0.25">
      <c r="A14" t="s">
        <v>32</v>
      </c>
      <c r="B14" s="4">
        <v>1</v>
      </c>
      <c r="D14" t="s">
        <v>52</v>
      </c>
      <c r="E14" s="4">
        <v>5000</v>
      </c>
      <c r="G14" t="s">
        <v>34</v>
      </c>
      <c r="H14" s="4">
        <v>6</v>
      </c>
      <c r="P14" t="s">
        <v>99</v>
      </c>
      <c r="Q14" s="4">
        <v>10000</v>
      </c>
      <c r="S14" t="s">
        <v>88</v>
      </c>
      <c r="T14" s="4">
        <v>5.2499999999999998E-2</v>
      </c>
    </row>
    <row r="15" spans="1:20" x14ac:dyDescent="0.25">
      <c r="A15" t="s">
        <v>33</v>
      </c>
      <c r="B15" s="4">
        <v>1</v>
      </c>
      <c r="D15" t="s">
        <v>53</v>
      </c>
      <c r="E15" s="4">
        <v>0</v>
      </c>
      <c r="G15" t="s">
        <v>35</v>
      </c>
      <c r="H15" s="4">
        <v>1</v>
      </c>
      <c r="P15" t="s">
        <v>100</v>
      </c>
      <c r="Q15" s="4">
        <v>5</v>
      </c>
      <c r="S15" t="s">
        <v>110</v>
      </c>
      <c r="T15" s="4">
        <v>0.2</v>
      </c>
    </row>
    <row r="16" spans="1:20" x14ac:dyDescent="0.25">
      <c r="A16" t="s">
        <v>34</v>
      </c>
      <c r="B16" s="4">
        <v>1</v>
      </c>
      <c r="D16" t="s">
        <v>54</v>
      </c>
      <c r="E16" s="4">
        <v>0</v>
      </c>
      <c r="G16" t="s">
        <v>60</v>
      </c>
      <c r="H16" s="4" t="s">
        <v>172</v>
      </c>
      <c r="P16" t="s">
        <v>101</v>
      </c>
      <c r="S16" t="s">
        <v>111</v>
      </c>
      <c r="T16" s="4">
        <v>20</v>
      </c>
    </row>
    <row r="17" spans="1:20" x14ac:dyDescent="0.25">
      <c r="A17" t="s">
        <v>35</v>
      </c>
      <c r="B17" s="4">
        <v>1</v>
      </c>
      <c r="D17" t="s">
        <v>55</v>
      </c>
      <c r="E17" s="4">
        <v>0</v>
      </c>
      <c r="G17" t="s">
        <v>61</v>
      </c>
      <c r="H17" s="4">
        <v>40000</v>
      </c>
      <c r="P17" t="s">
        <v>59</v>
      </c>
      <c r="Q17" s="4" t="s">
        <v>122</v>
      </c>
      <c r="S17" t="s">
        <v>112</v>
      </c>
    </row>
    <row r="18" spans="1:20" x14ac:dyDescent="0.25">
      <c r="A18" t="s">
        <v>36</v>
      </c>
      <c r="D18" t="s">
        <v>174</v>
      </c>
      <c r="E18" s="4">
        <v>1250</v>
      </c>
      <c r="G18" t="s">
        <v>62</v>
      </c>
      <c r="H18" s="4">
        <v>1</v>
      </c>
      <c r="P18" t="s">
        <v>98</v>
      </c>
      <c r="Q18" s="4">
        <v>1</v>
      </c>
      <c r="S18" t="s">
        <v>113</v>
      </c>
      <c r="T18" s="4">
        <v>1000000</v>
      </c>
    </row>
    <row r="19" spans="1:20" x14ac:dyDescent="0.25">
      <c r="A19" t="s">
        <v>37</v>
      </c>
      <c r="B19" s="4">
        <v>10</v>
      </c>
      <c r="D19" t="s">
        <v>56</v>
      </c>
      <c r="E19" s="4">
        <v>0.02</v>
      </c>
      <c r="G19" t="s">
        <v>33</v>
      </c>
      <c r="H19" s="4">
        <v>1</v>
      </c>
      <c r="P19" t="s">
        <v>99</v>
      </c>
      <c r="Q19" s="4">
        <v>10000</v>
      </c>
      <c r="S19" t="s">
        <v>114</v>
      </c>
      <c r="T19" s="4">
        <v>0</v>
      </c>
    </row>
    <row r="20" spans="1:20" x14ac:dyDescent="0.25">
      <c r="A20" t="s">
        <v>38</v>
      </c>
      <c r="B20" s="4">
        <v>1</v>
      </c>
      <c r="D20" t="s">
        <v>57</v>
      </c>
      <c r="E20" s="4">
        <v>100000</v>
      </c>
      <c r="G20" t="s">
        <v>34</v>
      </c>
      <c r="H20" s="4">
        <v>6</v>
      </c>
      <c r="P20" t="s">
        <v>100</v>
      </c>
      <c r="Q20" s="4">
        <v>5</v>
      </c>
      <c r="S20" t="s">
        <v>115</v>
      </c>
      <c r="T20" s="4" t="b">
        <v>0</v>
      </c>
    </row>
    <row r="21" spans="1:20" x14ac:dyDescent="0.25">
      <c r="A21" t="s">
        <v>34</v>
      </c>
      <c r="B21" s="4">
        <v>1</v>
      </c>
      <c r="D21" t="s">
        <v>58</v>
      </c>
      <c r="E21" s="4">
        <v>40000</v>
      </c>
      <c r="G21" t="s">
        <v>35</v>
      </c>
      <c r="H21" s="4">
        <v>1</v>
      </c>
      <c r="P21" t="s">
        <v>59</v>
      </c>
      <c r="Q21" s="4" t="s">
        <v>152</v>
      </c>
      <c r="S21" t="s">
        <v>116</v>
      </c>
      <c r="T21" s="4" t="s">
        <v>123</v>
      </c>
    </row>
    <row r="22" spans="1:20" x14ac:dyDescent="0.25">
      <c r="A22" t="s">
        <v>35</v>
      </c>
      <c r="B22" s="4">
        <v>10</v>
      </c>
      <c r="D22" t="s">
        <v>125</v>
      </c>
      <c r="G22" t="s">
        <v>165</v>
      </c>
      <c r="P22" t="s">
        <v>98</v>
      </c>
      <c r="Q22" s="4">
        <v>1</v>
      </c>
      <c r="S22" t="s">
        <v>117</v>
      </c>
      <c r="T22" s="4">
        <v>9.73</v>
      </c>
    </row>
    <row r="23" spans="1:20" x14ac:dyDescent="0.25">
      <c r="A23" t="s">
        <v>86</v>
      </c>
      <c r="D23" t="s">
        <v>126</v>
      </c>
      <c r="E23" s="4">
        <v>600</v>
      </c>
      <c r="G23" t="s">
        <v>60</v>
      </c>
      <c r="H23" s="4" t="s">
        <v>166</v>
      </c>
      <c r="P23" t="s">
        <v>99</v>
      </c>
      <c r="Q23" s="4">
        <v>10000</v>
      </c>
    </row>
    <row r="24" spans="1:20" x14ac:dyDescent="0.25">
      <c r="A24" t="s">
        <v>130</v>
      </c>
      <c r="B24" s="4">
        <v>1</v>
      </c>
      <c r="D24" t="s">
        <v>127</v>
      </c>
      <c r="E24" s="4">
        <v>100</v>
      </c>
      <c r="G24" t="s">
        <v>61</v>
      </c>
      <c r="H24" s="4">
        <v>40000</v>
      </c>
      <c r="P24" t="s">
        <v>100</v>
      </c>
      <c r="Q24" s="4">
        <v>5</v>
      </c>
    </row>
    <row r="25" spans="1:20" x14ac:dyDescent="0.25">
      <c r="A25" t="s">
        <v>33</v>
      </c>
      <c r="B25" s="4">
        <v>1</v>
      </c>
      <c r="D25" t="s">
        <v>34</v>
      </c>
      <c r="E25" s="4">
        <v>1</v>
      </c>
      <c r="G25" t="s">
        <v>62</v>
      </c>
      <c r="H25" s="4">
        <v>1</v>
      </c>
      <c r="P25" t="s">
        <v>59</v>
      </c>
      <c r="Q25" s="4" t="s">
        <v>155</v>
      </c>
    </row>
    <row r="26" spans="1:20" x14ac:dyDescent="0.25">
      <c r="A26" t="s">
        <v>34</v>
      </c>
      <c r="B26" s="4">
        <v>1</v>
      </c>
      <c r="D26" t="s">
        <v>35</v>
      </c>
      <c r="E26" s="4">
        <v>0</v>
      </c>
      <c r="G26" t="s">
        <v>33</v>
      </c>
      <c r="H26" s="4">
        <v>1</v>
      </c>
      <c r="P26" t="s">
        <v>98</v>
      </c>
      <c r="Q26" s="4">
        <v>1</v>
      </c>
    </row>
    <row r="27" spans="1:20" x14ac:dyDescent="0.25">
      <c r="A27" t="s">
        <v>35</v>
      </c>
      <c r="B27" s="4">
        <v>1</v>
      </c>
      <c r="D27" t="s">
        <v>128</v>
      </c>
      <c r="G27" t="s">
        <v>34</v>
      </c>
      <c r="H27" s="4">
        <v>6</v>
      </c>
      <c r="P27" t="s">
        <v>99</v>
      </c>
      <c r="Q27" s="4">
        <v>10000</v>
      </c>
    </row>
    <row r="28" spans="1:20" x14ac:dyDescent="0.25">
      <c r="A28" t="s">
        <v>40</v>
      </c>
      <c r="D28" t="s">
        <v>31</v>
      </c>
      <c r="E28" s="4" t="s">
        <v>16</v>
      </c>
      <c r="G28" t="s">
        <v>35</v>
      </c>
      <c r="H28" s="4">
        <v>1</v>
      </c>
      <c r="P28" t="s">
        <v>100</v>
      </c>
      <c r="Q28" s="4">
        <v>5</v>
      </c>
    </row>
    <row r="29" spans="1:20" x14ac:dyDescent="0.25">
      <c r="A29" t="s">
        <v>131</v>
      </c>
      <c r="B29" s="4">
        <v>10</v>
      </c>
      <c r="D29" t="s">
        <v>39</v>
      </c>
      <c r="E29" s="4" t="s">
        <v>16</v>
      </c>
      <c r="G29" t="s">
        <v>60</v>
      </c>
      <c r="H29" s="4" t="s">
        <v>173</v>
      </c>
      <c r="P29" t="s">
        <v>59</v>
      </c>
      <c r="Q29" s="4" t="s">
        <v>156</v>
      </c>
    </row>
    <row r="30" spans="1:20" x14ac:dyDescent="0.25">
      <c r="A30" t="s">
        <v>38</v>
      </c>
      <c r="B30" s="4">
        <v>1</v>
      </c>
      <c r="D30" t="s">
        <v>86</v>
      </c>
      <c r="E30" s="4" t="s">
        <v>16</v>
      </c>
      <c r="G30" t="s">
        <v>61</v>
      </c>
      <c r="H30" s="4">
        <v>40000</v>
      </c>
      <c r="P30" t="s">
        <v>98</v>
      </c>
      <c r="Q30" s="4">
        <v>1</v>
      </c>
    </row>
    <row r="31" spans="1:20" x14ac:dyDescent="0.25">
      <c r="A31" t="s">
        <v>34</v>
      </c>
      <c r="B31" s="4">
        <v>1</v>
      </c>
      <c r="D31" t="s">
        <v>41</v>
      </c>
      <c r="G31" t="s">
        <v>62</v>
      </c>
      <c r="H31" s="4">
        <v>1</v>
      </c>
      <c r="P31" t="s">
        <v>99</v>
      </c>
      <c r="Q31" s="4">
        <v>10000</v>
      </c>
    </row>
    <row r="32" spans="1:20" x14ac:dyDescent="0.25">
      <c r="A32" t="s">
        <v>35</v>
      </c>
      <c r="B32" s="4">
        <v>10</v>
      </c>
      <c r="D32" t="s">
        <v>42</v>
      </c>
      <c r="E32" s="4" t="s">
        <v>119</v>
      </c>
      <c r="G32" t="s">
        <v>33</v>
      </c>
      <c r="H32" s="4">
        <v>1</v>
      </c>
      <c r="P32" t="s">
        <v>100</v>
      </c>
      <c r="Q32" s="4">
        <v>5</v>
      </c>
    </row>
    <row r="33" spans="4:8" x14ac:dyDescent="0.25">
      <c r="D33" t="s">
        <v>43</v>
      </c>
      <c r="G33" t="s">
        <v>34</v>
      </c>
      <c r="H33" s="4">
        <v>6</v>
      </c>
    </row>
    <row r="34" spans="4:8" x14ac:dyDescent="0.25">
      <c r="D34" t="s">
        <v>44</v>
      </c>
      <c r="E34" s="4">
        <v>20</v>
      </c>
      <c r="G34" t="s">
        <v>35</v>
      </c>
      <c r="H34" s="4">
        <v>1</v>
      </c>
    </row>
    <row r="35" spans="4:8" x14ac:dyDescent="0.25">
      <c r="D35" t="s">
        <v>45</v>
      </c>
      <c r="E35" s="4">
        <v>0</v>
      </c>
      <c r="G35" t="s">
        <v>167</v>
      </c>
    </row>
    <row r="36" spans="4:8" x14ac:dyDescent="0.25">
      <c r="D36" t="s">
        <v>46</v>
      </c>
      <c r="E36" s="4">
        <v>0</v>
      </c>
      <c r="G36" t="s">
        <v>60</v>
      </c>
      <c r="H36" s="4" t="s">
        <v>168</v>
      </c>
    </row>
    <row r="37" spans="4:8" x14ac:dyDescent="0.25">
      <c r="D37" t="s">
        <v>47</v>
      </c>
      <c r="G37" t="s">
        <v>61</v>
      </c>
      <c r="H37" s="4">
        <v>40000</v>
      </c>
    </row>
    <row r="38" spans="4:8" x14ac:dyDescent="0.25">
      <c r="D38" t="s">
        <v>48</v>
      </c>
      <c r="E38" s="4">
        <v>0</v>
      </c>
      <c r="G38" t="s">
        <v>62</v>
      </c>
      <c r="H38" s="4">
        <v>1</v>
      </c>
    </row>
    <row r="39" spans="4:8" x14ac:dyDescent="0.25">
      <c r="D39" t="s">
        <v>49</v>
      </c>
      <c r="E39" s="4">
        <v>0</v>
      </c>
      <c r="G39" t="s">
        <v>33</v>
      </c>
      <c r="H39" s="4">
        <v>1</v>
      </c>
    </row>
    <row r="40" spans="4:8" x14ac:dyDescent="0.25">
      <c r="D40" t="s">
        <v>50</v>
      </c>
      <c r="E40" s="4">
        <v>0</v>
      </c>
      <c r="G40" t="s">
        <v>34</v>
      </c>
      <c r="H40" s="4">
        <v>6</v>
      </c>
    </row>
    <row r="41" spans="4:8" x14ac:dyDescent="0.25">
      <c r="D41" t="s">
        <v>51</v>
      </c>
      <c r="G41" t="s">
        <v>35</v>
      </c>
      <c r="H41" s="4">
        <v>1</v>
      </c>
    </row>
    <row r="42" spans="4:8" x14ac:dyDescent="0.25">
      <c r="D42" t="s">
        <v>52</v>
      </c>
      <c r="E42" s="4">
        <v>5000</v>
      </c>
      <c r="G42" t="s">
        <v>63</v>
      </c>
    </row>
    <row r="43" spans="4:8" x14ac:dyDescent="0.25">
      <c r="D43" t="s">
        <v>53</v>
      </c>
      <c r="E43" s="4">
        <v>0</v>
      </c>
      <c r="G43" t="s">
        <v>64</v>
      </c>
      <c r="H43" s="4">
        <v>0</v>
      </c>
    </row>
    <row r="44" spans="4:8" x14ac:dyDescent="0.25">
      <c r="D44" t="s">
        <v>54</v>
      </c>
      <c r="E44" s="4">
        <v>0</v>
      </c>
      <c r="G44" t="s">
        <v>65</v>
      </c>
      <c r="H44" s="4">
        <v>0</v>
      </c>
    </row>
    <row r="45" spans="4:8" x14ac:dyDescent="0.25">
      <c r="D45" t="s">
        <v>55</v>
      </c>
      <c r="E45" s="4">
        <v>0</v>
      </c>
      <c r="G45" t="s">
        <v>66</v>
      </c>
      <c r="H45" s="4">
        <v>0</v>
      </c>
    </row>
    <row r="46" spans="4:8" x14ac:dyDescent="0.25">
      <c r="D46" t="s">
        <v>174</v>
      </c>
      <c r="E46" s="4">
        <v>1250</v>
      </c>
      <c r="G46" t="s">
        <v>67</v>
      </c>
      <c r="H46" s="4">
        <v>0</v>
      </c>
    </row>
    <row r="47" spans="4:8" x14ac:dyDescent="0.25">
      <c r="D47" t="s">
        <v>56</v>
      </c>
      <c r="E47" s="4">
        <v>0.02</v>
      </c>
      <c r="G47" t="s">
        <v>68</v>
      </c>
      <c r="H47" s="4">
        <v>0</v>
      </c>
    </row>
    <row r="48" spans="4:8" x14ac:dyDescent="0.25">
      <c r="D48" t="s">
        <v>57</v>
      </c>
      <c r="E48" s="4">
        <v>100000</v>
      </c>
      <c r="G48" t="s">
        <v>69</v>
      </c>
      <c r="H48" s="4">
        <v>0</v>
      </c>
    </row>
    <row r="49" spans="4:8" x14ac:dyDescent="0.25">
      <c r="D49" t="s">
        <v>58</v>
      </c>
      <c r="E49" s="4">
        <v>40000</v>
      </c>
      <c r="G49" t="s">
        <v>70</v>
      </c>
      <c r="H49" s="4">
        <v>0</v>
      </c>
    </row>
    <row r="50" spans="4:8" x14ac:dyDescent="0.25">
      <c r="D50" t="s">
        <v>125</v>
      </c>
      <c r="G50" t="s">
        <v>71</v>
      </c>
      <c r="H50" s="4">
        <v>0</v>
      </c>
    </row>
    <row r="51" spans="4:8" x14ac:dyDescent="0.25">
      <c r="D51" t="s">
        <v>126</v>
      </c>
      <c r="E51" s="4">
        <v>600</v>
      </c>
      <c r="G51" t="s">
        <v>72</v>
      </c>
      <c r="H51" s="4">
        <v>263</v>
      </c>
    </row>
    <row r="52" spans="4:8" x14ac:dyDescent="0.25">
      <c r="D52" t="s">
        <v>127</v>
      </c>
      <c r="E52" s="4">
        <v>100</v>
      </c>
      <c r="G52" t="s">
        <v>73</v>
      </c>
      <c r="H52" s="4">
        <v>5.6</v>
      </c>
    </row>
    <row r="53" spans="4:8" x14ac:dyDescent="0.25">
      <c r="D53" t="s">
        <v>34</v>
      </c>
      <c r="E53" s="4">
        <v>1</v>
      </c>
      <c r="G53" t="s">
        <v>74</v>
      </c>
      <c r="H53" s="4">
        <v>0</v>
      </c>
    </row>
    <row r="54" spans="4:8" x14ac:dyDescent="0.25">
      <c r="D54" t="s">
        <v>35</v>
      </c>
      <c r="E54" s="4">
        <v>0</v>
      </c>
      <c r="G54" t="s">
        <v>75</v>
      </c>
      <c r="H54" s="4">
        <v>0</v>
      </c>
    </row>
    <row r="55" spans="4:8" x14ac:dyDescent="0.25">
      <c r="D55" t="s">
        <v>128</v>
      </c>
      <c r="G55" t="s">
        <v>76</v>
      </c>
      <c r="H55" s="4">
        <v>0</v>
      </c>
    </row>
    <row r="56" spans="4:8" x14ac:dyDescent="0.25">
      <c r="D56" t="s">
        <v>31</v>
      </c>
      <c r="E56" s="4" t="s">
        <v>16</v>
      </c>
    </row>
    <row r="57" spans="4:8" x14ac:dyDescent="0.25">
      <c r="D57" t="s">
        <v>39</v>
      </c>
      <c r="E57" s="4" t="s">
        <v>16</v>
      </c>
    </row>
    <row r="58" spans="4:8" x14ac:dyDescent="0.25">
      <c r="D58" t="s">
        <v>86</v>
      </c>
      <c r="E58" s="4" t="s">
        <v>16</v>
      </c>
    </row>
    <row r="59" spans="4:8" x14ac:dyDescent="0.25">
      <c r="D59" t="s">
        <v>41</v>
      </c>
    </row>
    <row r="60" spans="4:8" x14ac:dyDescent="0.25">
      <c r="D60" t="s">
        <v>42</v>
      </c>
      <c r="E60" s="4" t="s">
        <v>120</v>
      </c>
    </row>
    <row r="61" spans="4:8" x14ac:dyDescent="0.25">
      <c r="D61" t="s">
        <v>43</v>
      </c>
    </row>
    <row r="62" spans="4:8" x14ac:dyDescent="0.25">
      <c r="D62" t="s">
        <v>44</v>
      </c>
      <c r="E62" s="4">
        <v>20</v>
      </c>
    </row>
    <row r="63" spans="4:8" x14ac:dyDescent="0.25">
      <c r="D63" t="s">
        <v>45</v>
      </c>
      <c r="E63" s="4">
        <v>0</v>
      </c>
    </row>
    <row r="64" spans="4:8" x14ac:dyDescent="0.25">
      <c r="D64" t="s">
        <v>46</v>
      </c>
      <c r="E64" s="4">
        <v>0</v>
      </c>
    </row>
    <row r="65" spans="4:5" x14ac:dyDescent="0.25">
      <c r="D65" t="s">
        <v>47</v>
      </c>
    </row>
    <row r="66" spans="4:5" x14ac:dyDescent="0.25">
      <c r="D66" t="s">
        <v>48</v>
      </c>
      <c r="E66" s="4">
        <v>0</v>
      </c>
    </row>
    <row r="67" spans="4:5" x14ac:dyDescent="0.25">
      <c r="D67" t="s">
        <v>49</v>
      </c>
      <c r="E67" s="4">
        <v>0</v>
      </c>
    </row>
    <row r="68" spans="4:5" x14ac:dyDescent="0.25">
      <c r="D68" t="s">
        <v>50</v>
      </c>
      <c r="E68" s="4">
        <v>0</v>
      </c>
    </row>
    <row r="69" spans="4:5" x14ac:dyDescent="0.25">
      <c r="D69" t="s">
        <v>51</v>
      </c>
    </row>
    <row r="70" spans="4:5" x14ac:dyDescent="0.25">
      <c r="D70" t="s">
        <v>52</v>
      </c>
      <c r="E70" s="4">
        <v>5000</v>
      </c>
    </row>
    <row r="71" spans="4:5" x14ac:dyDescent="0.25">
      <c r="D71" t="s">
        <v>53</v>
      </c>
      <c r="E71" s="4">
        <v>0</v>
      </c>
    </row>
    <row r="72" spans="4:5" x14ac:dyDescent="0.25">
      <c r="D72" t="s">
        <v>54</v>
      </c>
      <c r="E72" s="4">
        <v>0</v>
      </c>
    </row>
    <row r="73" spans="4:5" x14ac:dyDescent="0.25">
      <c r="D73" t="s">
        <v>55</v>
      </c>
      <c r="E73" s="4">
        <v>0</v>
      </c>
    </row>
    <row r="74" spans="4:5" x14ac:dyDescent="0.25">
      <c r="D74" t="s">
        <v>174</v>
      </c>
      <c r="E74" s="4">
        <v>1250</v>
      </c>
    </row>
    <row r="75" spans="4:5" x14ac:dyDescent="0.25">
      <c r="D75" t="s">
        <v>56</v>
      </c>
      <c r="E75" s="4">
        <v>0.02</v>
      </c>
    </row>
    <row r="76" spans="4:5" x14ac:dyDescent="0.25">
      <c r="D76" t="s">
        <v>57</v>
      </c>
      <c r="E76" s="4">
        <v>100000</v>
      </c>
    </row>
    <row r="77" spans="4:5" x14ac:dyDescent="0.25">
      <c r="D77" t="s">
        <v>58</v>
      </c>
      <c r="E77" s="4">
        <v>40000</v>
      </c>
    </row>
    <row r="78" spans="4:5" x14ac:dyDescent="0.25">
      <c r="D78" t="s">
        <v>125</v>
      </c>
    </row>
    <row r="79" spans="4:5" x14ac:dyDescent="0.25">
      <c r="D79" t="s">
        <v>126</v>
      </c>
      <c r="E79" s="4">
        <v>600</v>
      </c>
    </row>
    <row r="80" spans="4:5" x14ac:dyDescent="0.25">
      <c r="D80" t="s">
        <v>127</v>
      </c>
      <c r="E80" s="4">
        <v>100</v>
      </c>
    </row>
    <row r="81" spans="4:5" x14ac:dyDescent="0.25">
      <c r="D81" t="s">
        <v>34</v>
      </c>
      <c r="E81" s="4">
        <v>1</v>
      </c>
    </row>
    <row r="82" spans="4:5" x14ac:dyDescent="0.25">
      <c r="D82" t="s">
        <v>35</v>
      </c>
      <c r="E82" s="4">
        <v>0</v>
      </c>
    </row>
    <row r="83" spans="4:5" x14ac:dyDescent="0.25">
      <c r="D83" t="s">
        <v>128</v>
      </c>
    </row>
    <row r="84" spans="4:5" x14ac:dyDescent="0.25">
      <c r="D84" t="s">
        <v>31</v>
      </c>
      <c r="E84" s="4" t="s">
        <v>16</v>
      </c>
    </row>
    <row r="85" spans="4:5" x14ac:dyDescent="0.25">
      <c r="D85" t="s">
        <v>39</v>
      </c>
      <c r="E85" s="4" t="s">
        <v>16</v>
      </c>
    </row>
    <row r="86" spans="4:5" x14ac:dyDescent="0.25">
      <c r="D86" t="s">
        <v>86</v>
      </c>
      <c r="E86" s="4" t="s">
        <v>16</v>
      </c>
    </row>
    <row r="87" spans="4:5" x14ac:dyDescent="0.25">
      <c r="D87" t="s">
        <v>41</v>
      </c>
    </row>
    <row r="88" spans="4:5" x14ac:dyDescent="0.25">
      <c r="D88" t="s">
        <v>42</v>
      </c>
      <c r="E88" s="4" t="s">
        <v>121</v>
      </c>
    </row>
    <row r="89" spans="4:5" x14ac:dyDescent="0.25">
      <c r="D89" t="s">
        <v>43</v>
      </c>
    </row>
    <row r="90" spans="4:5" x14ac:dyDescent="0.25">
      <c r="D90" t="s">
        <v>44</v>
      </c>
      <c r="E90" s="4">
        <v>20</v>
      </c>
    </row>
    <row r="91" spans="4:5" x14ac:dyDescent="0.25">
      <c r="D91" t="s">
        <v>45</v>
      </c>
      <c r="E91" s="4">
        <v>0</v>
      </c>
    </row>
    <row r="92" spans="4:5" x14ac:dyDescent="0.25">
      <c r="D92" t="s">
        <v>46</v>
      </c>
      <c r="E92" s="4">
        <v>0</v>
      </c>
    </row>
    <row r="93" spans="4:5" x14ac:dyDescent="0.25">
      <c r="D93" t="s">
        <v>47</v>
      </c>
    </row>
    <row r="94" spans="4:5" x14ac:dyDescent="0.25">
      <c r="D94" t="s">
        <v>48</v>
      </c>
      <c r="E94" s="4">
        <v>0</v>
      </c>
    </row>
    <row r="95" spans="4:5" x14ac:dyDescent="0.25">
      <c r="D95" t="s">
        <v>49</v>
      </c>
      <c r="E95" s="4">
        <v>0</v>
      </c>
    </row>
    <row r="96" spans="4:5" x14ac:dyDescent="0.25">
      <c r="D96" t="s">
        <v>50</v>
      </c>
      <c r="E96" s="4">
        <v>0</v>
      </c>
    </row>
    <row r="97" spans="4:5" x14ac:dyDescent="0.25">
      <c r="D97" t="s">
        <v>51</v>
      </c>
    </row>
    <row r="98" spans="4:5" x14ac:dyDescent="0.25">
      <c r="D98" t="s">
        <v>52</v>
      </c>
      <c r="E98" s="4">
        <v>5000</v>
      </c>
    </row>
    <row r="99" spans="4:5" x14ac:dyDescent="0.25">
      <c r="D99" t="s">
        <v>53</v>
      </c>
      <c r="E99" s="4">
        <v>0</v>
      </c>
    </row>
    <row r="100" spans="4:5" x14ac:dyDescent="0.25">
      <c r="D100" t="s">
        <v>54</v>
      </c>
      <c r="E100" s="4">
        <v>0</v>
      </c>
    </row>
    <row r="101" spans="4:5" x14ac:dyDescent="0.25">
      <c r="D101" t="s">
        <v>55</v>
      </c>
      <c r="E101" s="4">
        <v>0</v>
      </c>
    </row>
    <row r="102" spans="4:5" x14ac:dyDescent="0.25">
      <c r="D102" t="s">
        <v>174</v>
      </c>
      <c r="E102" s="4">
        <v>1250</v>
      </c>
    </row>
    <row r="103" spans="4:5" x14ac:dyDescent="0.25">
      <c r="D103" t="s">
        <v>56</v>
      </c>
      <c r="E103" s="4">
        <v>0.02</v>
      </c>
    </row>
    <row r="104" spans="4:5" x14ac:dyDescent="0.25">
      <c r="D104" t="s">
        <v>57</v>
      </c>
      <c r="E104" s="4">
        <v>100000</v>
      </c>
    </row>
    <row r="105" spans="4:5" x14ac:dyDescent="0.25">
      <c r="D105" t="s">
        <v>58</v>
      </c>
      <c r="E105" s="4">
        <v>40000</v>
      </c>
    </row>
    <row r="106" spans="4:5" x14ac:dyDescent="0.25">
      <c r="D106" t="s">
        <v>125</v>
      </c>
    </row>
    <row r="107" spans="4:5" x14ac:dyDescent="0.25">
      <c r="D107" t="s">
        <v>126</v>
      </c>
      <c r="E107" s="4">
        <v>600</v>
      </c>
    </row>
    <row r="108" spans="4:5" x14ac:dyDescent="0.25">
      <c r="D108" t="s">
        <v>127</v>
      </c>
      <c r="E108" s="4">
        <v>100</v>
      </c>
    </row>
    <row r="109" spans="4:5" x14ac:dyDescent="0.25">
      <c r="D109" t="s">
        <v>34</v>
      </c>
      <c r="E109" s="4">
        <v>1</v>
      </c>
    </row>
    <row r="110" spans="4:5" x14ac:dyDescent="0.25">
      <c r="D110" t="s">
        <v>35</v>
      </c>
      <c r="E110" s="4">
        <v>0</v>
      </c>
    </row>
    <row r="111" spans="4:5" x14ac:dyDescent="0.25">
      <c r="D111" t="s">
        <v>128</v>
      </c>
    </row>
    <row r="112" spans="4:5" x14ac:dyDescent="0.25">
      <c r="D112" t="s">
        <v>31</v>
      </c>
      <c r="E112" s="4" t="s">
        <v>16</v>
      </c>
    </row>
    <row r="113" spans="4:5" x14ac:dyDescent="0.25">
      <c r="D113" t="s">
        <v>39</v>
      </c>
      <c r="E113" s="4" t="s">
        <v>16</v>
      </c>
    </row>
    <row r="114" spans="4:5" x14ac:dyDescent="0.25">
      <c r="D114" t="s">
        <v>86</v>
      </c>
      <c r="E114" s="4" t="s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7841" r:id="rId3" name="Projections Button">
              <controlPr defaultSize="0" print="0" autoFill="0" autoPict="0" macro="[0]!CreateProjections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8"/>
  <sheetViews>
    <sheetView workbookViewId="0"/>
  </sheetViews>
  <sheetFormatPr defaultRowHeight="15" x14ac:dyDescent="0.25"/>
  <sheetData>
    <row r="1" spans="1:16" x14ac:dyDescent="0.25">
      <c r="A1" t="s">
        <v>125</v>
      </c>
      <c r="E1" t="s">
        <v>104</v>
      </c>
    </row>
    <row r="2" spans="1:16" x14ac:dyDescent="0.25"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N2">
        <v>10</v>
      </c>
      <c r="O2">
        <v>11</v>
      </c>
      <c r="P2">
        <v>12</v>
      </c>
    </row>
    <row r="4" spans="1:16" x14ac:dyDescent="0.25">
      <c r="B4" t="str">
        <f>OperatingAssumptions!$E4</f>
        <v>Product 1</v>
      </c>
      <c r="D4" t="s">
        <v>182</v>
      </c>
      <c r="E4">
        <v>0</v>
      </c>
      <c r="F4">
        <f t="shared" ref="F4:P4" si="0">E8</f>
        <v>596</v>
      </c>
      <c r="G4">
        <f t="shared" si="0"/>
        <v>576</v>
      </c>
      <c r="H4">
        <f t="shared" si="0"/>
        <v>532</v>
      </c>
      <c r="I4">
        <f t="shared" si="0"/>
        <v>452</v>
      </c>
      <c r="J4">
        <f t="shared" si="0"/>
        <v>328</v>
      </c>
      <c r="K4">
        <f t="shared" si="0"/>
        <v>148</v>
      </c>
      <c r="L4">
        <f t="shared" si="0"/>
        <v>503</v>
      </c>
      <c r="M4">
        <f t="shared" si="0"/>
        <v>182</v>
      </c>
      <c r="N4">
        <f t="shared" si="0"/>
        <v>376</v>
      </c>
      <c r="O4">
        <f t="shared" si="0"/>
        <v>474</v>
      </c>
      <c r="P4">
        <f t="shared" si="0"/>
        <v>467</v>
      </c>
    </row>
    <row r="5" spans="1:16" x14ac:dyDescent="0.25">
      <c r="D5" t="s">
        <v>183</v>
      </c>
      <c r="E5">
        <f>units_sold_channel_method(E2, All_Channels, Product1, All_Products)</f>
        <v>4</v>
      </c>
      <c r="F5">
        <f>units_sold_channel_method(F2, All_Channels, Product1, All_Products)</f>
        <v>20</v>
      </c>
      <c r="G5">
        <f>units_sold_channel_method(G2, All_Channels, Product1, All_Products)</f>
        <v>44</v>
      </c>
      <c r="H5">
        <f>units_sold_channel_method(H2, All_Channels, Product1, All_Products)</f>
        <v>80</v>
      </c>
      <c r="I5">
        <f>units_sold_channel_method(I2, All_Channels, Product1, All_Products)</f>
        <v>124</v>
      </c>
      <c r="J5">
        <f>units_sold_channel_method(J2, All_Channels, Product1, All_Products)</f>
        <v>180</v>
      </c>
      <c r="K5">
        <f>units_sold_channel_method(K2, All_Channels, Product1, All_Products)</f>
        <v>245</v>
      </c>
      <c r="L5">
        <f>units_sold_channel_method(L2, All_Channels, Product1, All_Products)</f>
        <v>321</v>
      </c>
      <c r="M5">
        <f>units_sold_channel_method(M2, All_Channels, Product1, All_Products)</f>
        <v>406</v>
      </c>
      <c r="N5">
        <f>units_sold_channel_method(N2, All_Channels, Product1, All_Products)</f>
        <v>502</v>
      </c>
      <c r="O5">
        <f>units_sold_channel_method(O2, All_Channels, Product1, All_Products)</f>
        <v>607</v>
      </c>
      <c r="P5">
        <f>units_sold_channel_method(P2, All_Channels, Product1, All_Products)</f>
        <v>723</v>
      </c>
    </row>
    <row r="6" spans="1:16" x14ac:dyDescent="0.25">
      <c r="D6" t="s">
        <v>184</v>
      </c>
      <c r="E6">
        <f>units_added(E4, E5, OperatingAssumptions!$E24, OperatingAssumptions!$E23)</f>
        <v>600</v>
      </c>
      <c r="F6">
        <f>units_added(F4, F5, OperatingAssumptions!$E24, OperatingAssumptions!$E23)</f>
        <v>0</v>
      </c>
      <c r="G6">
        <f>units_added(G4, G5, OperatingAssumptions!$E24, OperatingAssumptions!$E23)</f>
        <v>0</v>
      </c>
      <c r="H6">
        <f>units_added(H4, H5, OperatingAssumptions!$E24, OperatingAssumptions!$E23)</f>
        <v>0</v>
      </c>
      <c r="I6">
        <f>units_added(I4, I5, OperatingAssumptions!$E24, OperatingAssumptions!$E23)</f>
        <v>0</v>
      </c>
      <c r="J6">
        <f>units_added(J4, J5, OperatingAssumptions!$E24, OperatingAssumptions!$E23)</f>
        <v>0</v>
      </c>
      <c r="K6">
        <f>units_added(K4, K5, OperatingAssumptions!$E24, OperatingAssumptions!$E23)</f>
        <v>600</v>
      </c>
      <c r="L6">
        <f>units_added(L4, L5, OperatingAssumptions!$E24, OperatingAssumptions!$E23)</f>
        <v>0</v>
      </c>
      <c r="M6">
        <f>units_added(M4, M5, OperatingAssumptions!$E24, OperatingAssumptions!$E23)</f>
        <v>600</v>
      </c>
      <c r="N6">
        <f>units_added(N4, N5, OperatingAssumptions!$E24, OperatingAssumptions!$E23)</f>
        <v>600</v>
      </c>
      <c r="O6">
        <f>units_added(O4, O5, OperatingAssumptions!$E24, OperatingAssumptions!$E23)</f>
        <v>600</v>
      </c>
      <c r="P6">
        <f>units_added(P4, P5, OperatingAssumptions!$E24, OperatingAssumptions!$E23)</f>
        <v>600</v>
      </c>
    </row>
    <row r="7" spans="1:16" x14ac:dyDescent="0.25">
      <c r="D7" t="s">
        <v>185</v>
      </c>
      <c r="E7">
        <f>inv_cost_added(E2, InvAdded, Product1)</f>
        <v>6375</v>
      </c>
      <c r="F7">
        <f>inv_cost_added(F2, InvAdded, Product1)</f>
        <v>0</v>
      </c>
      <c r="G7">
        <f>inv_cost_added(G2, InvAdded, Product1)</f>
        <v>0</v>
      </c>
      <c r="H7">
        <f>inv_cost_added(H2, InvAdded, Product1)</f>
        <v>0</v>
      </c>
      <c r="I7">
        <f>inv_cost_added(I2, InvAdded, Product1)</f>
        <v>0</v>
      </c>
      <c r="J7">
        <f>inv_cost_added(J2, InvAdded, Product1)</f>
        <v>0</v>
      </c>
      <c r="K7">
        <f>inv_cost_added(K2, InvAdded, Product1)</f>
        <v>6375</v>
      </c>
      <c r="L7">
        <f>inv_cost_added(L2, InvAdded, Product1)</f>
        <v>0</v>
      </c>
      <c r="M7">
        <f>inv_cost_added(M2, InvAdded, Product1)</f>
        <v>6375</v>
      </c>
      <c r="N7">
        <f>inv_cost_added(N2, InvAdded, Product1)</f>
        <v>6375</v>
      </c>
      <c r="O7">
        <f>inv_cost_added(O2, InvAdded, Product1)</f>
        <v>6375</v>
      </c>
      <c r="P7">
        <f>inv_cost_added(P2, InvAdded, Product1)</f>
        <v>6375</v>
      </c>
    </row>
    <row r="8" spans="1:16" x14ac:dyDescent="0.25">
      <c r="D8" t="s">
        <v>186</v>
      </c>
      <c r="E8">
        <f t="shared" ref="E8:P8" si="1">remaining_units(E4, E5, E6)</f>
        <v>596</v>
      </c>
      <c r="F8">
        <f t="shared" si="1"/>
        <v>576</v>
      </c>
      <c r="G8">
        <f t="shared" si="1"/>
        <v>532</v>
      </c>
      <c r="H8">
        <f t="shared" si="1"/>
        <v>452</v>
      </c>
      <c r="I8">
        <f t="shared" si="1"/>
        <v>328</v>
      </c>
      <c r="J8">
        <f t="shared" si="1"/>
        <v>148</v>
      </c>
      <c r="K8">
        <f t="shared" si="1"/>
        <v>503</v>
      </c>
      <c r="L8">
        <f t="shared" si="1"/>
        <v>182</v>
      </c>
      <c r="M8">
        <f t="shared" si="1"/>
        <v>376</v>
      </c>
      <c r="N8">
        <f t="shared" si="1"/>
        <v>474</v>
      </c>
      <c r="O8">
        <f t="shared" si="1"/>
        <v>467</v>
      </c>
      <c r="P8">
        <f t="shared" si="1"/>
        <v>344</v>
      </c>
    </row>
    <row r="10" spans="1:16" x14ac:dyDescent="0.25">
      <c r="B10" t="str">
        <f>OperatingAssumptions!$E32</f>
        <v>Product 2</v>
      </c>
      <c r="D10" t="s">
        <v>182</v>
      </c>
      <c r="E10">
        <v>0</v>
      </c>
      <c r="F10">
        <f t="shared" ref="F10:P10" si="2">E14</f>
        <v>596</v>
      </c>
      <c r="G10">
        <f t="shared" si="2"/>
        <v>576</v>
      </c>
      <c r="H10">
        <f t="shared" si="2"/>
        <v>532</v>
      </c>
      <c r="I10">
        <f t="shared" si="2"/>
        <v>452</v>
      </c>
      <c r="J10">
        <f t="shared" si="2"/>
        <v>328</v>
      </c>
      <c r="K10">
        <f t="shared" si="2"/>
        <v>148</v>
      </c>
      <c r="L10">
        <f t="shared" si="2"/>
        <v>503</v>
      </c>
      <c r="M10">
        <f t="shared" si="2"/>
        <v>182</v>
      </c>
      <c r="N10">
        <f t="shared" si="2"/>
        <v>376</v>
      </c>
      <c r="O10">
        <f t="shared" si="2"/>
        <v>474</v>
      </c>
      <c r="P10">
        <f t="shared" si="2"/>
        <v>467</v>
      </c>
    </row>
    <row r="11" spans="1:16" x14ac:dyDescent="0.25">
      <c r="D11" t="s">
        <v>183</v>
      </c>
      <c r="E11">
        <f>units_sold_channel_method(E2, All_Channels, Product2, All_Products)</f>
        <v>4</v>
      </c>
      <c r="F11">
        <f>units_sold_channel_method(F2, All_Channels, Product2, All_Products)</f>
        <v>20</v>
      </c>
      <c r="G11">
        <f>units_sold_channel_method(G2, All_Channels, Product2, All_Products)</f>
        <v>44</v>
      </c>
      <c r="H11">
        <f>units_sold_channel_method(H2, All_Channels, Product2, All_Products)</f>
        <v>80</v>
      </c>
      <c r="I11">
        <f>units_sold_channel_method(I2, All_Channels, Product2, All_Products)</f>
        <v>124</v>
      </c>
      <c r="J11">
        <f>units_sold_channel_method(J2, All_Channels, Product2, All_Products)</f>
        <v>180</v>
      </c>
      <c r="K11">
        <f>units_sold_channel_method(K2, All_Channels, Product2, All_Products)</f>
        <v>245</v>
      </c>
      <c r="L11">
        <f>units_sold_channel_method(L2, All_Channels, Product2, All_Products)</f>
        <v>321</v>
      </c>
      <c r="M11">
        <f>units_sold_channel_method(M2, All_Channels, Product2, All_Products)</f>
        <v>406</v>
      </c>
      <c r="N11">
        <f>units_sold_channel_method(N2, All_Channels, Product2, All_Products)</f>
        <v>502</v>
      </c>
      <c r="O11">
        <f>units_sold_channel_method(O2, All_Channels, Product2, All_Products)</f>
        <v>607</v>
      </c>
      <c r="P11">
        <f>units_sold_channel_method(P2, All_Channels, Product2, All_Products)</f>
        <v>723</v>
      </c>
    </row>
    <row r="12" spans="1:16" x14ac:dyDescent="0.25">
      <c r="D12" t="s">
        <v>184</v>
      </c>
      <c r="E12">
        <f>units_added(E10, E11, OperatingAssumptions!$E52, OperatingAssumptions!$E51)</f>
        <v>600</v>
      </c>
      <c r="F12">
        <f>units_added(F10, F11, OperatingAssumptions!$E52, OperatingAssumptions!$E51)</f>
        <v>0</v>
      </c>
      <c r="G12">
        <f>units_added(G10, G11, OperatingAssumptions!$E52, OperatingAssumptions!$E51)</f>
        <v>0</v>
      </c>
      <c r="H12">
        <f>units_added(H10, H11, OperatingAssumptions!$E52, OperatingAssumptions!$E51)</f>
        <v>0</v>
      </c>
      <c r="I12">
        <f>units_added(I10, I11, OperatingAssumptions!$E52, OperatingAssumptions!$E51)</f>
        <v>0</v>
      </c>
      <c r="J12">
        <f>units_added(J10, J11, OperatingAssumptions!$E52, OperatingAssumptions!$E51)</f>
        <v>0</v>
      </c>
      <c r="K12">
        <f>units_added(K10, K11, OperatingAssumptions!$E52, OperatingAssumptions!$E51)</f>
        <v>600</v>
      </c>
      <c r="L12">
        <f>units_added(L10, L11, OperatingAssumptions!$E52, OperatingAssumptions!$E51)</f>
        <v>0</v>
      </c>
      <c r="M12">
        <f>units_added(M10, M11, OperatingAssumptions!$E52, OperatingAssumptions!$E51)</f>
        <v>600</v>
      </c>
      <c r="N12">
        <f>units_added(N10, N11, OperatingAssumptions!$E52, OperatingAssumptions!$E51)</f>
        <v>600</v>
      </c>
      <c r="O12">
        <f>units_added(O10, O11, OperatingAssumptions!$E52, OperatingAssumptions!$E51)</f>
        <v>600</v>
      </c>
      <c r="P12">
        <f>units_added(P10, P11, OperatingAssumptions!$E52, OperatingAssumptions!$E51)</f>
        <v>600</v>
      </c>
    </row>
    <row r="13" spans="1:16" x14ac:dyDescent="0.25">
      <c r="D13" t="s">
        <v>185</v>
      </c>
      <c r="E13">
        <f>inv_cost_added(E2, InvAdded, Product2)</f>
        <v>6375</v>
      </c>
      <c r="F13">
        <f>inv_cost_added(F2, InvAdded, Product2)</f>
        <v>0</v>
      </c>
      <c r="G13">
        <f>inv_cost_added(G2, InvAdded, Product2)</f>
        <v>0</v>
      </c>
      <c r="H13">
        <f>inv_cost_added(H2, InvAdded, Product2)</f>
        <v>0</v>
      </c>
      <c r="I13">
        <f>inv_cost_added(I2, InvAdded, Product2)</f>
        <v>0</v>
      </c>
      <c r="J13">
        <f>inv_cost_added(J2, InvAdded, Product2)</f>
        <v>0</v>
      </c>
      <c r="K13">
        <f>inv_cost_added(K2, InvAdded, Product2)</f>
        <v>6375</v>
      </c>
      <c r="L13">
        <f>inv_cost_added(L2, InvAdded, Product2)</f>
        <v>0</v>
      </c>
      <c r="M13">
        <f>inv_cost_added(M2, InvAdded, Product2)</f>
        <v>6375</v>
      </c>
      <c r="N13">
        <f>inv_cost_added(N2, InvAdded, Product2)</f>
        <v>6375</v>
      </c>
      <c r="O13">
        <f>inv_cost_added(O2, InvAdded, Product2)</f>
        <v>6375</v>
      </c>
      <c r="P13">
        <f>inv_cost_added(P2, InvAdded, Product2)</f>
        <v>6375</v>
      </c>
    </row>
    <row r="14" spans="1:16" x14ac:dyDescent="0.25">
      <c r="D14" t="s">
        <v>186</v>
      </c>
      <c r="E14">
        <f t="shared" ref="E14:P14" si="3">remaining_units(E10, E11, E12)</f>
        <v>596</v>
      </c>
      <c r="F14">
        <f t="shared" si="3"/>
        <v>576</v>
      </c>
      <c r="G14">
        <f t="shared" si="3"/>
        <v>532</v>
      </c>
      <c r="H14">
        <f t="shared" si="3"/>
        <v>452</v>
      </c>
      <c r="I14">
        <f t="shared" si="3"/>
        <v>328</v>
      </c>
      <c r="J14">
        <f t="shared" si="3"/>
        <v>148</v>
      </c>
      <c r="K14">
        <f t="shared" si="3"/>
        <v>503</v>
      </c>
      <c r="L14">
        <f t="shared" si="3"/>
        <v>182</v>
      </c>
      <c r="M14">
        <f t="shared" si="3"/>
        <v>376</v>
      </c>
      <c r="N14">
        <f t="shared" si="3"/>
        <v>474</v>
      </c>
      <c r="O14">
        <f t="shared" si="3"/>
        <v>467</v>
      </c>
      <c r="P14">
        <f t="shared" si="3"/>
        <v>344</v>
      </c>
    </row>
    <row r="16" spans="1:16" x14ac:dyDescent="0.25">
      <c r="B16" t="str">
        <f>OperatingAssumptions!$E60</f>
        <v>Product 3</v>
      </c>
      <c r="D16" t="s">
        <v>182</v>
      </c>
      <c r="E16">
        <v>0</v>
      </c>
      <c r="F16">
        <f t="shared" ref="F16:P16" si="4">E20</f>
        <v>596</v>
      </c>
      <c r="G16">
        <f t="shared" si="4"/>
        <v>576</v>
      </c>
      <c r="H16">
        <f t="shared" si="4"/>
        <v>532</v>
      </c>
      <c r="I16">
        <f t="shared" si="4"/>
        <v>452</v>
      </c>
      <c r="J16">
        <f t="shared" si="4"/>
        <v>328</v>
      </c>
      <c r="K16">
        <f t="shared" si="4"/>
        <v>148</v>
      </c>
      <c r="L16">
        <f t="shared" si="4"/>
        <v>503</v>
      </c>
      <c r="M16">
        <f t="shared" si="4"/>
        <v>182</v>
      </c>
      <c r="N16">
        <f t="shared" si="4"/>
        <v>376</v>
      </c>
      <c r="O16">
        <f t="shared" si="4"/>
        <v>474</v>
      </c>
      <c r="P16">
        <f t="shared" si="4"/>
        <v>467</v>
      </c>
    </row>
    <row r="17" spans="2:16" x14ac:dyDescent="0.25">
      <c r="D17" t="s">
        <v>183</v>
      </c>
      <c r="E17">
        <f>units_sold_channel_method(E2, All_Channels, Product3, All_Products)</f>
        <v>4</v>
      </c>
      <c r="F17">
        <f>units_sold_channel_method(F2, All_Channels, Product3, All_Products)</f>
        <v>20</v>
      </c>
      <c r="G17">
        <f>units_sold_channel_method(G2, All_Channels, Product3, All_Products)</f>
        <v>44</v>
      </c>
      <c r="H17">
        <f>units_sold_channel_method(H2, All_Channels, Product3, All_Products)</f>
        <v>80</v>
      </c>
      <c r="I17">
        <f>units_sold_channel_method(I2, All_Channels, Product3, All_Products)</f>
        <v>124</v>
      </c>
      <c r="J17">
        <f>units_sold_channel_method(J2, All_Channels, Product3, All_Products)</f>
        <v>180</v>
      </c>
      <c r="K17">
        <f>units_sold_channel_method(K2, All_Channels, Product3, All_Products)</f>
        <v>245</v>
      </c>
      <c r="L17">
        <f>units_sold_channel_method(L2, All_Channels, Product3, All_Products)</f>
        <v>321</v>
      </c>
      <c r="M17">
        <f>units_sold_channel_method(M2, All_Channels, Product3, All_Products)</f>
        <v>406</v>
      </c>
      <c r="N17">
        <f>units_sold_channel_method(N2, All_Channels, Product3, All_Products)</f>
        <v>502</v>
      </c>
      <c r="O17">
        <f>units_sold_channel_method(O2, All_Channels, Product3, All_Products)</f>
        <v>607</v>
      </c>
      <c r="P17">
        <f>units_sold_channel_method(P2, All_Channels, Product3, All_Products)</f>
        <v>723</v>
      </c>
    </row>
    <row r="18" spans="2:16" x14ac:dyDescent="0.25">
      <c r="D18" t="s">
        <v>184</v>
      </c>
      <c r="E18">
        <f>units_added(E16, E17, OperatingAssumptions!$E80, OperatingAssumptions!$E79)</f>
        <v>600</v>
      </c>
      <c r="F18">
        <f>units_added(F16, F17, OperatingAssumptions!$E80, OperatingAssumptions!$E79)</f>
        <v>0</v>
      </c>
      <c r="G18">
        <f>units_added(G16, G17, OperatingAssumptions!$E80, OperatingAssumptions!$E79)</f>
        <v>0</v>
      </c>
      <c r="H18">
        <f>units_added(H16, H17, OperatingAssumptions!$E80, OperatingAssumptions!$E79)</f>
        <v>0</v>
      </c>
      <c r="I18">
        <f>units_added(I16, I17, OperatingAssumptions!$E80, OperatingAssumptions!$E79)</f>
        <v>0</v>
      </c>
      <c r="J18">
        <f>units_added(J16, J17, OperatingAssumptions!$E80, OperatingAssumptions!$E79)</f>
        <v>0</v>
      </c>
      <c r="K18">
        <f>units_added(K16, K17, OperatingAssumptions!$E80, OperatingAssumptions!$E79)</f>
        <v>600</v>
      </c>
      <c r="L18">
        <f>units_added(L16, L17, OperatingAssumptions!$E80, OperatingAssumptions!$E79)</f>
        <v>0</v>
      </c>
      <c r="M18">
        <f>units_added(M16, M17, OperatingAssumptions!$E80, OperatingAssumptions!$E79)</f>
        <v>600</v>
      </c>
      <c r="N18">
        <f>units_added(N16, N17, OperatingAssumptions!$E80, OperatingAssumptions!$E79)</f>
        <v>600</v>
      </c>
      <c r="O18">
        <f>units_added(O16, O17, OperatingAssumptions!$E80, OperatingAssumptions!$E79)</f>
        <v>600</v>
      </c>
      <c r="P18">
        <f>units_added(P16, P17, OperatingAssumptions!$E80, OperatingAssumptions!$E79)</f>
        <v>600</v>
      </c>
    </row>
    <row r="19" spans="2:16" x14ac:dyDescent="0.25">
      <c r="D19" t="s">
        <v>185</v>
      </c>
      <c r="E19">
        <f>inv_cost_added(E2, InvAdded, Product3)</f>
        <v>6375</v>
      </c>
      <c r="F19">
        <f>inv_cost_added(F2, InvAdded, Product3)</f>
        <v>0</v>
      </c>
      <c r="G19">
        <f>inv_cost_added(G2, InvAdded, Product3)</f>
        <v>0</v>
      </c>
      <c r="H19">
        <f>inv_cost_added(H2, InvAdded, Product3)</f>
        <v>0</v>
      </c>
      <c r="I19">
        <f>inv_cost_added(I2, InvAdded, Product3)</f>
        <v>0</v>
      </c>
      <c r="J19">
        <f>inv_cost_added(J2, InvAdded, Product3)</f>
        <v>0</v>
      </c>
      <c r="K19">
        <f>inv_cost_added(K2, InvAdded, Product3)</f>
        <v>6375</v>
      </c>
      <c r="L19">
        <f>inv_cost_added(L2, InvAdded, Product3)</f>
        <v>0</v>
      </c>
      <c r="M19">
        <f>inv_cost_added(M2, InvAdded, Product3)</f>
        <v>6375</v>
      </c>
      <c r="N19">
        <f>inv_cost_added(N2, InvAdded, Product3)</f>
        <v>6375</v>
      </c>
      <c r="O19">
        <f>inv_cost_added(O2, InvAdded, Product3)</f>
        <v>6375</v>
      </c>
      <c r="P19">
        <f>inv_cost_added(P2, InvAdded, Product3)</f>
        <v>6375</v>
      </c>
    </row>
    <row r="20" spans="2:16" x14ac:dyDescent="0.25">
      <c r="D20" t="s">
        <v>186</v>
      </c>
      <c r="E20">
        <f t="shared" ref="E20:P20" si="5">remaining_units(E16, E17, E18)</f>
        <v>596</v>
      </c>
      <c r="F20">
        <f t="shared" si="5"/>
        <v>576</v>
      </c>
      <c r="G20">
        <f t="shared" si="5"/>
        <v>532</v>
      </c>
      <c r="H20">
        <f t="shared" si="5"/>
        <v>452</v>
      </c>
      <c r="I20">
        <f t="shared" si="5"/>
        <v>328</v>
      </c>
      <c r="J20">
        <f t="shared" si="5"/>
        <v>148</v>
      </c>
      <c r="K20">
        <f t="shared" si="5"/>
        <v>503</v>
      </c>
      <c r="L20">
        <f t="shared" si="5"/>
        <v>182</v>
      </c>
      <c r="M20">
        <f t="shared" si="5"/>
        <v>376</v>
      </c>
      <c r="N20">
        <f t="shared" si="5"/>
        <v>474</v>
      </c>
      <c r="O20">
        <f t="shared" si="5"/>
        <v>467</v>
      </c>
      <c r="P20">
        <f t="shared" si="5"/>
        <v>344</v>
      </c>
    </row>
    <row r="22" spans="2:16" x14ac:dyDescent="0.25">
      <c r="B22" t="str">
        <f>OperatingAssumptions!$E88</f>
        <v>Product 4</v>
      </c>
      <c r="D22" t="s">
        <v>182</v>
      </c>
      <c r="E22">
        <v>0</v>
      </c>
      <c r="F22">
        <f t="shared" ref="F22:P22" si="6">E26</f>
        <v>596</v>
      </c>
      <c r="G22">
        <f t="shared" si="6"/>
        <v>576</v>
      </c>
      <c r="H22">
        <f t="shared" si="6"/>
        <v>532</v>
      </c>
      <c r="I22">
        <f t="shared" si="6"/>
        <v>452</v>
      </c>
      <c r="J22">
        <f t="shared" si="6"/>
        <v>328</v>
      </c>
      <c r="K22">
        <f t="shared" si="6"/>
        <v>148</v>
      </c>
      <c r="L22">
        <f t="shared" si="6"/>
        <v>503</v>
      </c>
      <c r="M22">
        <f t="shared" si="6"/>
        <v>182</v>
      </c>
      <c r="N22">
        <f t="shared" si="6"/>
        <v>376</v>
      </c>
      <c r="O22">
        <f t="shared" si="6"/>
        <v>474</v>
      </c>
      <c r="P22">
        <f t="shared" si="6"/>
        <v>467</v>
      </c>
    </row>
    <row r="23" spans="2:16" x14ac:dyDescent="0.25">
      <c r="D23" t="s">
        <v>183</v>
      </c>
      <c r="E23">
        <f>units_sold_channel_method(E2, All_Channels, Product4, All_Products)</f>
        <v>4</v>
      </c>
      <c r="F23">
        <f>units_sold_channel_method(F2, All_Channels, Product4, All_Products)</f>
        <v>20</v>
      </c>
      <c r="G23">
        <f>units_sold_channel_method(G2, All_Channels, Product4, All_Products)</f>
        <v>44</v>
      </c>
      <c r="H23">
        <f>units_sold_channel_method(H2, All_Channels, Product4, All_Products)</f>
        <v>80</v>
      </c>
      <c r="I23">
        <f>units_sold_channel_method(I2, All_Channels, Product4, All_Products)</f>
        <v>124</v>
      </c>
      <c r="J23">
        <f>units_sold_channel_method(J2, All_Channels, Product4, All_Products)</f>
        <v>180</v>
      </c>
      <c r="K23">
        <f>units_sold_channel_method(K2, All_Channels, Product4, All_Products)</f>
        <v>245</v>
      </c>
      <c r="L23">
        <f>units_sold_channel_method(L2, All_Channels, Product4, All_Products)</f>
        <v>321</v>
      </c>
      <c r="M23">
        <f>units_sold_channel_method(M2, All_Channels, Product4, All_Products)</f>
        <v>406</v>
      </c>
      <c r="N23">
        <f>units_sold_channel_method(N2, All_Channels, Product4, All_Products)</f>
        <v>502</v>
      </c>
      <c r="O23">
        <f>units_sold_channel_method(O2, All_Channels, Product4, All_Products)</f>
        <v>607</v>
      </c>
      <c r="P23">
        <f>units_sold_channel_method(P2, All_Channels, Product4, All_Products)</f>
        <v>723</v>
      </c>
    </row>
    <row r="24" spans="2:16" x14ac:dyDescent="0.25">
      <c r="D24" t="s">
        <v>184</v>
      </c>
      <c r="E24">
        <f>units_added(E22, E23, OperatingAssumptions!$E108, OperatingAssumptions!$E107)</f>
        <v>600</v>
      </c>
      <c r="F24">
        <f>units_added(F22, F23, OperatingAssumptions!$E108, OperatingAssumptions!$E107)</f>
        <v>0</v>
      </c>
      <c r="G24">
        <f>units_added(G22, G23, OperatingAssumptions!$E108, OperatingAssumptions!$E107)</f>
        <v>0</v>
      </c>
      <c r="H24">
        <f>units_added(H22, H23, OperatingAssumptions!$E108, OperatingAssumptions!$E107)</f>
        <v>0</v>
      </c>
      <c r="I24">
        <f>units_added(I22, I23, OperatingAssumptions!$E108, OperatingAssumptions!$E107)</f>
        <v>0</v>
      </c>
      <c r="J24">
        <f>units_added(J22, J23, OperatingAssumptions!$E108, OperatingAssumptions!$E107)</f>
        <v>0</v>
      </c>
      <c r="K24">
        <f>units_added(K22, K23, OperatingAssumptions!$E108, OperatingAssumptions!$E107)</f>
        <v>600</v>
      </c>
      <c r="L24">
        <f>units_added(L22, L23, OperatingAssumptions!$E108, OperatingAssumptions!$E107)</f>
        <v>0</v>
      </c>
      <c r="M24">
        <f>units_added(M22, M23, OperatingAssumptions!$E108, OperatingAssumptions!$E107)</f>
        <v>600</v>
      </c>
      <c r="N24">
        <f>units_added(N22, N23, OperatingAssumptions!$E108, OperatingAssumptions!$E107)</f>
        <v>600</v>
      </c>
      <c r="O24">
        <f>units_added(O22, O23, OperatingAssumptions!$E108, OperatingAssumptions!$E107)</f>
        <v>600</v>
      </c>
      <c r="P24">
        <f>units_added(P22, P23, OperatingAssumptions!$E108, OperatingAssumptions!$E107)</f>
        <v>600</v>
      </c>
    </row>
    <row r="25" spans="2:16" x14ac:dyDescent="0.25">
      <c r="D25" t="s">
        <v>185</v>
      </c>
      <c r="E25">
        <f>inv_cost_added(E2, InvAdded, Product4)</f>
        <v>6375</v>
      </c>
      <c r="F25">
        <f>inv_cost_added(F2, InvAdded, Product4)</f>
        <v>0</v>
      </c>
      <c r="G25">
        <f>inv_cost_added(G2, InvAdded, Product4)</f>
        <v>0</v>
      </c>
      <c r="H25">
        <f>inv_cost_added(H2, InvAdded, Product4)</f>
        <v>0</v>
      </c>
      <c r="I25">
        <f>inv_cost_added(I2, InvAdded, Product4)</f>
        <v>0</v>
      </c>
      <c r="J25">
        <f>inv_cost_added(J2, InvAdded, Product4)</f>
        <v>0</v>
      </c>
      <c r="K25">
        <f>inv_cost_added(K2, InvAdded, Product4)</f>
        <v>6375</v>
      </c>
      <c r="L25">
        <f>inv_cost_added(L2, InvAdded, Product4)</f>
        <v>0</v>
      </c>
      <c r="M25">
        <f>inv_cost_added(M2, InvAdded, Product4)</f>
        <v>6375</v>
      </c>
      <c r="N25">
        <f>inv_cost_added(N2, InvAdded, Product4)</f>
        <v>6375</v>
      </c>
      <c r="O25">
        <f>inv_cost_added(O2, InvAdded, Product4)</f>
        <v>6375</v>
      </c>
      <c r="P25">
        <f>inv_cost_added(P2, InvAdded, Product4)</f>
        <v>6375</v>
      </c>
    </row>
    <row r="26" spans="2:16" x14ac:dyDescent="0.25">
      <c r="D26" t="s">
        <v>186</v>
      </c>
      <c r="E26">
        <f t="shared" ref="E26:P26" si="7">remaining_units(E22, E23, E24)</f>
        <v>596</v>
      </c>
      <c r="F26">
        <f t="shared" si="7"/>
        <v>576</v>
      </c>
      <c r="G26">
        <f t="shared" si="7"/>
        <v>532</v>
      </c>
      <c r="H26">
        <f t="shared" si="7"/>
        <v>452</v>
      </c>
      <c r="I26">
        <f t="shared" si="7"/>
        <v>328</v>
      </c>
      <c r="J26">
        <f t="shared" si="7"/>
        <v>148</v>
      </c>
      <c r="K26">
        <f t="shared" si="7"/>
        <v>503</v>
      </c>
      <c r="L26">
        <f t="shared" si="7"/>
        <v>182</v>
      </c>
      <c r="M26">
        <f t="shared" si="7"/>
        <v>376</v>
      </c>
      <c r="N26">
        <f t="shared" si="7"/>
        <v>474</v>
      </c>
      <c r="O26">
        <f t="shared" si="7"/>
        <v>467</v>
      </c>
      <c r="P26">
        <f t="shared" si="7"/>
        <v>344</v>
      </c>
    </row>
    <row r="28" spans="2:16" x14ac:dyDescent="0.25">
      <c r="D28" t="s">
        <v>187</v>
      </c>
      <c r="E28">
        <f>total_inventory_cost_added(E2, AllInv, 4)</f>
        <v>25500</v>
      </c>
      <c r="F28">
        <f>total_inventory_cost_added(F2, AllInv, 4)</f>
        <v>0</v>
      </c>
      <c r="G28">
        <f>total_inventory_cost_added(G2, AllInv, 4)</f>
        <v>0</v>
      </c>
      <c r="H28">
        <f>total_inventory_cost_added(H2, AllInv, 4)</f>
        <v>0</v>
      </c>
      <c r="I28">
        <f>total_inventory_cost_added(I2, AllInv, 4)</f>
        <v>0</v>
      </c>
      <c r="J28">
        <f>total_inventory_cost_added(J2, AllInv, 4)</f>
        <v>0</v>
      </c>
      <c r="K28">
        <f>total_inventory_cost_added(K2, AllInv, 4)</f>
        <v>25500</v>
      </c>
      <c r="L28">
        <f>total_inventory_cost_added(L2, AllInv, 4)</f>
        <v>0</v>
      </c>
      <c r="M28">
        <f>total_inventory_cost_added(M2, AllInv, 4)</f>
        <v>25500</v>
      </c>
      <c r="N28">
        <f>total_inventory_cost_added(N2, AllInv, 4)</f>
        <v>25500</v>
      </c>
      <c r="O28">
        <f>total_inventory_cost_added(O2, AllInv, 4)</f>
        <v>25500</v>
      </c>
      <c r="P28">
        <f>total_inventory_cost_added(P2, AllInv, 4)</f>
        <v>25500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0"/>
  <sheetViews>
    <sheetView workbookViewId="0"/>
  </sheetViews>
  <sheetFormatPr defaultRowHeight="15" x14ac:dyDescent="0.25"/>
  <sheetData>
    <row r="1" spans="1:16" x14ac:dyDescent="0.25">
      <c r="A1" t="s">
        <v>188</v>
      </c>
      <c r="E1" t="s">
        <v>104</v>
      </c>
    </row>
    <row r="2" spans="1:16" x14ac:dyDescent="0.25"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N2">
        <v>10</v>
      </c>
      <c r="O2">
        <v>11</v>
      </c>
      <c r="P2">
        <v>12</v>
      </c>
    </row>
    <row r="4" spans="1:16" x14ac:dyDescent="0.25">
      <c r="B4" t="str">
        <f>OperatingAssumptions!$E4</f>
        <v>Product 1</v>
      </c>
      <c r="D4" t="s">
        <v>189</v>
      </c>
      <c r="E4">
        <f>OperatingAssumptions!$E6</f>
        <v>20</v>
      </c>
      <c r="F4">
        <f>OperatingAssumptions!$E6</f>
        <v>20</v>
      </c>
      <c r="G4">
        <f>OperatingAssumptions!$E6</f>
        <v>20</v>
      </c>
      <c r="H4">
        <f>OperatingAssumptions!$E6</f>
        <v>20</v>
      </c>
      <c r="I4">
        <f>OperatingAssumptions!$E6</f>
        <v>20</v>
      </c>
      <c r="J4">
        <f>OperatingAssumptions!$E6</f>
        <v>20</v>
      </c>
      <c r="K4">
        <f>OperatingAssumptions!$E6</f>
        <v>20</v>
      </c>
      <c r="L4">
        <f>OperatingAssumptions!$E6</f>
        <v>20</v>
      </c>
      <c r="M4">
        <f>OperatingAssumptions!$E6</f>
        <v>20</v>
      </c>
      <c r="N4">
        <f>OperatingAssumptions!$E6</f>
        <v>20</v>
      </c>
      <c r="O4">
        <f>OperatingAssumptions!$E6</f>
        <v>20</v>
      </c>
      <c r="P4">
        <f>OperatingAssumptions!$E6</f>
        <v>20</v>
      </c>
    </row>
    <row r="5" spans="1:16" x14ac:dyDescent="0.25">
      <c r="D5" t="s">
        <v>190</v>
      </c>
      <c r="E5">
        <f>get_ws_price(E4, OperatingAssumptions!$E8)</f>
        <v>0</v>
      </c>
      <c r="F5">
        <f>get_ws_price(F4, OperatingAssumptions!$E8)</f>
        <v>0</v>
      </c>
      <c r="G5">
        <f>get_ws_price(G4, OperatingAssumptions!$E8)</f>
        <v>0</v>
      </c>
      <c r="H5">
        <f>get_ws_price(H4, OperatingAssumptions!$E8)</f>
        <v>0</v>
      </c>
      <c r="I5">
        <f>get_ws_price(I4, OperatingAssumptions!$E8)</f>
        <v>0</v>
      </c>
      <c r="J5">
        <f>get_ws_price(J4, OperatingAssumptions!$E8)</f>
        <v>0</v>
      </c>
      <c r="K5">
        <f>get_ws_price(K4, OperatingAssumptions!$E8)</f>
        <v>0</v>
      </c>
      <c r="L5">
        <f>get_ws_price(L4, OperatingAssumptions!$E8)</f>
        <v>0</v>
      </c>
      <c r="M5">
        <f>get_ws_price(M4, OperatingAssumptions!$E8)</f>
        <v>0</v>
      </c>
      <c r="N5">
        <f>get_ws_price(N4, OperatingAssumptions!$E8)</f>
        <v>0</v>
      </c>
      <c r="O5">
        <f>get_ws_price(O4, OperatingAssumptions!$E8)</f>
        <v>0</v>
      </c>
      <c r="P5">
        <f>get_ws_price(P4, OperatingAssumptions!$E8)</f>
        <v>0</v>
      </c>
    </row>
    <row r="6" spans="1:16" x14ac:dyDescent="0.25">
      <c r="D6" t="s">
        <v>191</v>
      </c>
      <c r="E6">
        <f t="shared" ref="E6:P6" si="0">total_sales(E4, E5, E7, E8)</f>
        <v>40</v>
      </c>
      <c r="F6">
        <f t="shared" si="0"/>
        <v>200</v>
      </c>
      <c r="G6">
        <f t="shared" si="0"/>
        <v>440</v>
      </c>
      <c r="H6">
        <f t="shared" si="0"/>
        <v>800</v>
      </c>
      <c r="I6">
        <f t="shared" si="0"/>
        <v>1240</v>
      </c>
      <c r="J6">
        <f t="shared" si="0"/>
        <v>1800</v>
      </c>
      <c r="K6">
        <f t="shared" si="0"/>
        <v>2460</v>
      </c>
      <c r="L6">
        <f t="shared" si="0"/>
        <v>3220</v>
      </c>
      <c r="M6">
        <f t="shared" si="0"/>
        <v>4080</v>
      </c>
      <c r="N6">
        <f t="shared" si="0"/>
        <v>5040</v>
      </c>
      <c r="O6">
        <f t="shared" si="0"/>
        <v>6100</v>
      </c>
      <c r="P6">
        <f t="shared" si="0"/>
        <v>7260</v>
      </c>
    </row>
    <row r="7" spans="1:16" x14ac:dyDescent="0.25">
      <c r="D7" t="s">
        <v>192</v>
      </c>
      <c r="E7">
        <f>retail_units(Inventory!E5, E8)</f>
        <v>2</v>
      </c>
      <c r="F7">
        <f>retail_units(Inventory!F5, F8)</f>
        <v>10</v>
      </c>
      <c r="G7">
        <f>retail_units(Inventory!G5, G8)</f>
        <v>22</v>
      </c>
      <c r="H7">
        <f>retail_units(Inventory!H5, H8)</f>
        <v>40</v>
      </c>
      <c r="I7">
        <f>retail_units(Inventory!I5, I8)</f>
        <v>62</v>
      </c>
      <c r="J7">
        <f>retail_units(Inventory!J5, J8)</f>
        <v>90</v>
      </c>
      <c r="K7">
        <f>retail_units(Inventory!K5, K8)</f>
        <v>123</v>
      </c>
      <c r="L7">
        <f>retail_units(Inventory!L5, L8)</f>
        <v>161</v>
      </c>
      <c r="M7">
        <f>retail_units(Inventory!M5, M8)</f>
        <v>204</v>
      </c>
      <c r="N7">
        <f>retail_units(Inventory!N5, N8)</f>
        <v>252</v>
      </c>
      <c r="O7">
        <f>retail_units(Inventory!O5, O8)</f>
        <v>305</v>
      </c>
      <c r="P7">
        <f>retail_units(Inventory!P5, P8)</f>
        <v>363</v>
      </c>
    </row>
    <row r="8" spans="1:16" x14ac:dyDescent="0.25">
      <c r="D8" t="s">
        <v>193</v>
      </c>
      <c r="E8">
        <f>wholesale_units(E2, Wholesale, Product1, All_Products)</f>
        <v>2</v>
      </c>
      <c r="F8">
        <f>wholesale_units(F2, Wholesale, Product1, All_Products)</f>
        <v>10</v>
      </c>
      <c r="G8">
        <f>wholesale_units(G2, Wholesale, Product1, All_Products)</f>
        <v>22</v>
      </c>
      <c r="H8">
        <f>wholesale_units(H2, Wholesale, Product1, All_Products)</f>
        <v>40</v>
      </c>
      <c r="I8">
        <f>wholesale_units(I2, Wholesale, Product1, All_Products)</f>
        <v>62</v>
      </c>
      <c r="J8">
        <f>wholesale_units(J2, Wholesale, Product1, All_Products)</f>
        <v>90</v>
      </c>
      <c r="K8">
        <f>wholesale_units(K2, Wholesale, Product1, All_Products)</f>
        <v>122</v>
      </c>
      <c r="L8">
        <f>wholesale_units(L2, Wholesale, Product1, All_Products)</f>
        <v>160</v>
      </c>
      <c r="M8">
        <f>wholesale_units(M2, Wholesale, Product1, All_Products)</f>
        <v>202</v>
      </c>
      <c r="N8">
        <f>wholesale_units(N2, Wholesale, Product1, All_Products)</f>
        <v>250</v>
      </c>
      <c r="O8">
        <f>wholesale_units(O2, Wholesale, Product1, All_Products)</f>
        <v>302</v>
      </c>
      <c r="P8">
        <f>wholesale_units(P2, Wholesale, Product1, All_Products)</f>
        <v>360</v>
      </c>
    </row>
    <row r="10" spans="1:16" x14ac:dyDescent="0.25">
      <c r="B10" t="str">
        <f>OperatingAssumptions!$E32</f>
        <v>Product 2</v>
      </c>
      <c r="D10" t="s">
        <v>189</v>
      </c>
      <c r="E10">
        <f>OperatingAssumptions!$E34</f>
        <v>20</v>
      </c>
      <c r="F10">
        <f>OperatingAssumptions!$E34</f>
        <v>20</v>
      </c>
      <c r="G10">
        <f>OperatingAssumptions!$E34</f>
        <v>20</v>
      </c>
      <c r="H10">
        <f>OperatingAssumptions!$E34</f>
        <v>20</v>
      </c>
      <c r="I10">
        <f>OperatingAssumptions!$E34</f>
        <v>20</v>
      </c>
      <c r="J10">
        <f>OperatingAssumptions!$E34</f>
        <v>20</v>
      </c>
      <c r="K10">
        <f>OperatingAssumptions!$E34</f>
        <v>20</v>
      </c>
      <c r="L10">
        <f>OperatingAssumptions!$E34</f>
        <v>20</v>
      </c>
      <c r="M10">
        <f>OperatingAssumptions!$E34</f>
        <v>20</v>
      </c>
      <c r="N10">
        <f>OperatingAssumptions!$E34</f>
        <v>20</v>
      </c>
      <c r="O10">
        <f>OperatingAssumptions!$E34</f>
        <v>20</v>
      </c>
      <c r="P10">
        <f>OperatingAssumptions!$E34</f>
        <v>20</v>
      </c>
    </row>
    <row r="11" spans="1:16" x14ac:dyDescent="0.25">
      <c r="D11" t="s">
        <v>190</v>
      </c>
      <c r="E11">
        <f>get_ws_price(E10, OperatingAssumptions!$E36)</f>
        <v>0</v>
      </c>
      <c r="F11">
        <f>get_ws_price(F10, OperatingAssumptions!$E36)</f>
        <v>0</v>
      </c>
      <c r="G11">
        <f>get_ws_price(G10, OperatingAssumptions!$E36)</f>
        <v>0</v>
      </c>
      <c r="H11">
        <f>get_ws_price(H10, OperatingAssumptions!$E36)</f>
        <v>0</v>
      </c>
      <c r="I11">
        <f>get_ws_price(I10, OperatingAssumptions!$E36)</f>
        <v>0</v>
      </c>
      <c r="J11">
        <f>get_ws_price(J10, OperatingAssumptions!$E36)</f>
        <v>0</v>
      </c>
      <c r="K11">
        <f>get_ws_price(K10, OperatingAssumptions!$E36)</f>
        <v>0</v>
      </c>
      <c r="L11">
        <f>get_ws_price(L10, OperatingAssumptions!$E36)</f>
        <v>0</v>
      </c>
      <c r="M11">
        <f>get_ws_price(M10, OperatingAssumptions!$E36)</f>
        <v>0</v>
      </c>
      <c r="N11">
        <f>get_ws_price(N10, OperatingAssumptions!$E36)</f>
        <v>0</v>
      </c>
      <c r="O11">
        <f>get_ws_price(O10, OperatingAssumptions!$E36)</f>
        <v>0</v>
      </c>
      <c r="P11">
        <f>get_ws_price(P10, OperatingAssumptions!$E36)</f>
        <v>0</v>
      </c>
    </row>
    <row r="12" spans="1:16" x14ac:dyDescent="0.25">
      <c r="D12" t="s">
        <v>191</v>
      </c>
      <c r="E12">
        <f t="shared" ref="E12:P12" si="1">total_sales(E10, E11, E13, E14)</f>
        <v>40</v>
      </c>
      <c r="F12">
        <f t="shared" si="1"/>
        <v>200</v>
      </c>
      <c r="G12">
        <f t="shared" si="1"/>
        <v>440</v>
      </c>
      <c r="H12">
        <f t="shared" si="1"/>
        <v>800</v>
      </c>
      <c r="I12">
        <f t="shared" si="1"/>
        <v>1240</v>
      </c>
      <c r="J12">
        <f t="shared" si="1"/>
        <v>1800</v>
      </c>
      <c r="K12">
        <f t="shared" si="1"/>
        <v>2460</v>
      </c>
      <c r="L12">
        <f t="shared" si="1"/>
        <v>3220</v>
      </c>
      <c r="M12">
        <f t="shared" si="1"/>
        <v>4080</v>
      </c>
      <c r="N12">
        <f t="shared" si="1"/>
        <v>5040</v>
      </c>
      <c r="O12">
        <f t="shared" si="1"/>
        <v>6100</v>
      </c>
      <c r="P12">
        <f t="shared" si="1"/>
        <v>7260</v>
      </c>
    </row>
    <row r="13" spans="1:16" x14ac:dyDescent="0.25">
      <c r="D13" t="s">
        <v>192</v>
      </c>
      <c r="E13">
        <f>retail_units(Inventory!E11, E14)</f>
        <v>2</v>
      </c>
      <c r="F13">
        <f>retail_units(Inventory!F11, F14)</f>
        <v>10</v>
      </c>
      <c r="G13">
        <f>retail_units(Inventory!G11, G14)</f>
        <v>22</v>
      </c>
      <c r="H13">
        <f>retail_units(Inventory!H11, H14)</f>
        <v>40</v>
      </c>
      <c r="I13">
        <f>retail_units(Inventory!I11, I14)</f>
        <v>62</v>
      </c>
      <c r="J13">
        <f>retail_units(Inventory!J11, J14)</f>
        <v>90</v>
      </c>
      <c r="K13">
        <f>retail_units(Inventory!K11, K14)</f>
        <v>123</v>
      </c>
      <c r="L13">
        <f>retail_units(Inventory!L11, L14)</f>
        <v>161</v>
      </c>
      <c r="M13">
        <f>retail_units(Inventory!M11, M14)</f>
        <v>204</v>
      </c>
      <c r="N13">
        <f>retail_units(Inventory!N11, N14)</f>
        <v>252</v>
      </c>
      <c r="O13">
        <f>retail_units(Inventory!O11, O14)</f>
        <v>305</v>
      </c>
      <c r="P13">
        <f>retail_units(Inventory!P11, P14)</f>
        <v>363</v>
      </c>
    </row>
    <row r="14" spans="1:16" x14ac:dyDescent="0.25">
      <c r="D14" t="s">
        <v>193</v>
      </c>
      <c r="E14">
        <f>wholesale_units(E2, Wholesale, Product2, All_Products)</f>
        <v>2</v>
      </c>
      <c r="F14">
        <f>wholesale_units(F2, Wholesale, Product2, All_Products)</f>
        <v>10</v>
      </c>
      <c r="G14">
        <f>wholesale_units(G2, Wholesale, Product2, All_Products)</f>
        <v>22</v>
      </c>
      <c r="H14">
        <f>wholesale_units(H2, Wholesale, Product2, All_Products)</f>
        <v>40</v>
      </c>
      <c r="I14">
        <f>wholesale_units(I2, Wholesale, Product2, All_Products)</f>
        <v>62</v>
      </c>
      <c r="J14">
        <f>wholesale_units(J2, Wholesale, Product2, All_Products)</f>
        <v>90</v>
      </c>
      <c r="K14">
        <f>wholesale_units(K2, Wholesale, Product2, All_Products)</f>
        <v>122</v>
      </c>
      <c r="L14">
        <f>wholesale_units(L2, Wholesale, Product2, All_Products)</f>
        <v>160</v>
      </c>
      <c r="M14">
        <f>wholesale_units(M2, Wholesale, Product2, All_Products)</f>
        <v>202</v>
      </c>
      <c r="N14">
        <f>wholesale_units(N2, Wholesale, Product2, All_Products)</f>
        <v>250</v>
      </c>
      <c r="O14">
        <f>wholesale_units(O2, Wholesale, Product2, All_Products)</f>
        <v>302</v>
      </c>
      <c r="P14">
        <f>wholesale_units(P2, Wholesale, Product2, All_Products)</f>
        <v>360</v>
      </c>
    </row>
    <row r="16" spans="1:16" x14ac:dyDescent="0.25">
      <c r="B16" t="str">
        <f>OperatingAssumptions!$E60</f>
        <v>Product 3</v>
      </c>
      <c r="D16" t="s">
        <v>189</v>
      </c>
      <c r="E16">
        <f>OperatingAssumptions!$E62</f>
        <v>20</v>
      </c>
      <c r="F16">
        <f>OperatingAssumptions!$E62</f>
        <v>20</v>
      </c>
      <c r="G16">
        <f>OperatingAssumptions!$E62</f>
        <v>20</v>
      </c>
      <c r="H16">
        <f>OperatingAssumptions!$E62</f>
        <v>20</v>
      </c>
      <c r="I16">
        <f>OperatingAssumptions!$E62</f>
        <v>20</v>
      </c>
      <c r="J16">
        <f>OperatingAssumptions!$E62</f>
        <v>20</v>
      </c>
      <c r="K16">
        <f>OperatingAssumptions!$E62</f>
        <v>20</v>
      </c>
      <c r="L16">
        <f>OperatingAssumptions!$E62</f>
        <v>20</v>
      </c>
      <c r="M16">
        <f>OperatingAssumptions!$E62</f>
        <v>20</v>
      </c>
      <c r="N16">
        <f>OperatingAssumptions!$E62</f>
        <v>20</v>
      </c>
      <c r="O16">
        <f>OperatingAssumptions!$E62</f>
        <v>20</v>
      </c>
      <c r="P16">
        <f>OperatingAssumptions!$E62</f>
        <v>20</v>
      </c>
    </row>
    <row r="17" spans="2:16" x14ac:dyDescent="0.25">
      <c r="D17" t="s">
        <v>190</v>
      </c>
      <c r="E17">
        <f>get_ws_price(E16, OperatingAssumptions!$E64)</f>
        <v>0</v>
      </c>
      <c r="F17">
        <f>get_ws_price(F16, OperatingAssumptions!$E64)</f>
        <v>0</v>
      </c>
      <c r="G17">
        <f>get_ws_price(G16, OperatingAssumptions!$E64)</f>
        <v>0</v>
      </c>
      <c r="H17">
        <f>get_ws_price(H16, OperatingAssumptions!$E64)</f>
        <v>0</v>
      </c>
      <c r="I17">
        <f>get_ws_price(I16, OperatingAssumptions!$E64)</f>
        <v>0</v>
      </c>
      <c r="J17">
        <f>get_ws_price(J16, OperatingAssumptions!$E64)</f>
        <v>0</v>
      </c>
      <c r="K17">
        <f>get_ws_price(K16, OperatingAssumptions!$E64)</f>
        <v>0</v>
      </c>
      <c r="L17">
        <f>get_ws_price(L16, OperatingAssumptions!$E64)</f>
        <v>0</v>
      </c>
      <c r="M17">
        <f>get_ws_price(M16, OperatingAssumptions!$E64)</f>
        <v>0</v>
      </c>
      <c r="N17">
        <f>get_ws_price(N16, OperatingAssumptions!$E64)</f>
        <v>0</v>
      </c>
      <c r="O17">
        <f>get_ws_price(O16, OperatingAssumptions!$E64)</f>
        <v>0</v>
      </c>
      <c r="P17">
        <f>get_ws_price(P16, OperatingAssumptions!$E64)</f>
        <v>0</v>
      </c>
    </row>
    <row r="18" spans="2:16" x14ac:dyDescent="0.25">
      <c r="D18" t="s">
        <v>191</v>
      </c>
      <c r="E18">
        <f t="shared" ref="E18:P18" si="2">total_sales(E16, E17, E19, E20)</f>
        <v>40</v>
      </c>
      <c r="F18">
        <f t="shared" si="2"/>
        <v>200</v>
      </c>
      <c r="G18">
        <f t="shared" si="2"/>
        <v>440</v>
      </c>
      <c r="H18">
        <f t="shared" si="2"/>
        <v>800</v>
      </c>
      <c r="I18">
        <f t="shared" si="2"/>
        <v>1240</v>
      </c>
      <c r="J18">
        <f t="shared" si="2"/>
        <v>1800</v>
      </c>
      <c r="K18">
        <f t="shared" si="2"/>
        <v>2460</v>
      </c>
      <c r="L18">
        <f t="shared" si="2"/>
        <v>3220</v>
      </c>
      <c r="M18">
        <f t="shared" si="2"/>
        <v>4080</v>
      </c>
      <c r="N18">
        <f t="shared" si="2"/>
        <v>5040</v>
      </c>
      <c r="O18">
        <f t="shared" si="2"/>
        <v>6100</v>
      </c>
      <c r="P18">
        <f t="shared" si="2"/>
        <v>7260</v>
      </c>
    </row>
    <row r="19" spans="2:16" x14ac:dyDescent="0.25">
      <c r="D19" t="s">
        <v>192</v>
      </c>
      <c r="E19">
        <f>retail_units(Inventory!E17, E20)</f>
        <v>2</v>
      </c>
      <c r="F19">
        <f>retail_units(Inventory!F17, F20)</f>
        <v>10</v>
      </c>
      <c r="G19">
        <f>retail_units(Inventory!G17, G20)</f>
        <v>22</v>
      </c>
      <c r="H19">
        <f>retail_units(Inventory!H17, H20)</f>
        <v>40</v>
      </c>
      <c r="I19">
        <f>retail_units(Inventory!I17, I20)</f>
        <v>62</v>
      </c>
      <c r="J19">
        <f>retail_units(Inventory!J17, J20)</f>
        <v>90</v>
      </c>
      <c r="K19">
        <f>retail_units(Inventory!K17, K20)</f>
        <v>123</v>
      </c>
      <c r="L19">
        <f>retail_units(Inventory!L17, L20)</f>
        <v>161</v>
      </c>
      <c r="M19">
        <f>retail_units(Inventory!M17, M20)</f>
        <v>204</v>
      </c>
      <c r="N19">
        <f>retail_units(Inventory!N17, N20)</f>
        <v>252</v>
      </c>
      <c r="O19">
        <f>retail_units(Inventory!O17, O20)</f>
        <v>305</v>
      </c>
      <c r="P19">
        <f>retail_units(Inventory!P17, P20)</f>
        <v>363</v>
      </c>
    </row>
    <row r="20" spans="2:16" x14ac:dyDescent="0.25">
      <c r="D20" t="s">
        <v>193</v>
      </c>
      <c r="E20">
        <f>wholesale_units(E2, Wholesale, Product3, All_Products)</f>
        <v>2</v>
      </c>
      <c r="F20">
        <f>wholesale_units(F2, Wholesale, Product3, All_Products)</f>
        <v>10</v>
      </c>
      <c r="G20">
        <f>wholesale_units(G2, Wholesale, Product3, All_Products)</f>
        <v>22</v>
      </c>
      <c r="H20">
        <f>wholesale_units(H2, Wholesale, Product3, All_Products)</f>
        <v>40</v>
      </c>
      <c r="I20">
        <f>wholesale_units(I2, Wholesale, Product3, All_Products)</f>
        <v>62</v>
      </c>
      <c r="J20">
        <f>wholesale_units(J2, Wholesale, Product3, All_Products)</f>
        <v>90</v>
      </c>
      <c r="K20">
        <f>wholesale_units(K2, Wholesale, Product3, All_Products)</f>
        <v>122</v>
      </c>
      <c r="L20">
        <f>wholesale_units(L2, Wholesale, Product3, All_Products)</f>
        <v>160</v>
      </c>
      <c r="M20">
        <f>wholesale_units(M2, Wholesale, Product3, All_Products)</f>
        <v>202</v>
      </c>
      <c r="N20">
        <f>wholesale_units(N2, Wholesale, Product3, All_Products)</f>
        <v>250</v>
      </c>
      <c r="O20">
        <f>wholesale_units(O2, Wholesale, Product3, All_Products)</f>
        <v>302</v>
      </c>
      <c r="P20">
        <f>wholesale_units(P2, Wholesale, Product3, All_Products)</f>
        <v>360</v>
      </c>
    </row>
    <row r="22" spans="2:16" x14ac:dyDescent="0.25">
      <c r="B22" t="str">
        <f>OperatingAssumptions!$E88</f>
        <v>Product 4</v>
      </c>
      <c r="D22" t="s">
        <v>189</v>
      </c>
      <c r="E22">
        <f>OperatingAssumptions!$E90</f>
        <v>20</v>
      </c>
      <c r="F22">
        <f>OperatingAssumptions!$E90</f>
        <v>20</v>
      </c>
      <c r="G22">
        <f>OperatingAssumptions!$E90</f>
        <v>20</v>
      </c>
      <c r="H22">
        <f>OperatingAssumptions!$E90</f>
        <v>20</v>
      </c>
      <c r="I22">
        <f>OperatingAssumptions!$E90</f>
        <v>20</v>
      </c>
      <c r="J22">
        <f>OperatingAssumptions!$E90</f>
        <v>20</v>
      </c>
      <c r="K22">
        <f>OperatingAssumptions!$E90</f>
        <v>20</v>
      </c>
      <c r="L22">
        <f>OperatingAssumptions!$E90</f>
        <v>20</v>
      </c>
      <c r="M22">
        <f>OperatingAssumptions!$E90</f>
        <v>20</v>
      </c>
      <c r="N22">
        <f>OperatingAssumptions!$E90</f>
        <v>20</v>
      </c>
      <c r="O22">
        <f>OperatingAssumptions!$E90</f>
        <v>20</v>
      </c>
      <c r="P22">
        <f>OperatingAssumptions!$E90</f>
        <v>20</v>
      </c>
    </row>
    <row r="23" spans="2:16" x14ac:dyDescent="0.25">
      <c r="D23" t="s">
        <v>190</v>
      </c>
      <c r="E23">
        <f>get_ws_price(E22, OperatingAssumptions!$E92)</f>
        <v>0</v>
      </c>
      <c r="F23">
        <f>get_ws_price(F22, OperatingAssumptions!$E92)</f>
        <v>0</v>
      </c>
      <c r="G23">
        <f>get_ws_price(G22, OperatingAssumptions!$E92)</f>
        <v>0</v>
      </c>
      <c r="H23">
        <f>get_ws_price(H22, OperatingAssumptions!$E92)</f>
        <v>0</v>
      </c>
      <c r="I23">
        <f>get_ws_price(I22, OperatingAssumptions!$E92)</f>
        <v>0</v>
      </c>
      <c r="J23">
        <f>get_ws_price(J22, OperatingAssumptions!$E92)</f>
        <v>0</v>
      </c>
      <c r="K23">
        <f>get_ws_price(K22, OperatingAssumptions!$E92)</f>
        <v>0</v>
      </c>
      <c r="L23">
        <f>get_ws_price(L22, OperatingAssumptions!$E92)</f>
        <v>0</v>
      </c>
      <c r="M23">
        <f>get_ws_price(M22, OperatingAssumptions!$E92)</f>
        <v>0</v>
      </c>
      <c r="N23">
        <f>get_ws_price(N22, OperatingAssumptions!$E92)</f>
        <v>0</v>
      </c>
      <c r="O23">
        <f>get_ws_price(O22, OperatingAssumptions!$E92)</f>
        <v>0</v>
      </c>
      <c r="P23">
        <f>get_ws_price(P22, OperatingAssumptions!$E92)</f>
        <v>0</v>
      </c>
    </row>
    <row r="24" spans="2:16" x14ac:dyDescent="0.25">
      <c r="D24" t="s">
        <v>191</v>
      </c>
      <c r="E24">
        <f t="shared" ref="E24:P24" si="3">total_sales(E22, E23, E25, E26)</f>
        <v>40</v>
      </c>
      <c r="F24">
        <f t="shared" si="3"/>
        <v>200</v>
      </c>
      <c r="G24">
        <f t="shared" si="3"/>
        <v>440</v>
      </c>
      <c r="H24">
        <f t="shared" si="3"/>
        <v>800</v>
      </c>
      <c r="I24">
        <f t="shared" si="3"/>
        <v>1240</v>
      </c>
      <c r="J24">
        <f t="shared" si="3"/>
        <v>1800</v>
      </c>
      <c r="K24">
        <f t="shared" si="3"/>
        <v>2460</v>
      </c>
      <c r="L24">
        <f t="shared" si="3"/>
        <v>3220</v>
      </c>
      <c r="M24">
        <f t="shared" si="3"/>
        <v>4080</v>
      </c>
      <c r="N24">
        <f t="shared" si="3"/>
        <v>5040</v>
      </c>
      <c r="O24">
        <f t="shared" si="3"/>
        <v>6100</v>
      </c>
      <c r="P24">
        <f t="shared" si="3"/>
        <v>7260</v>
      </c>
    </row>
    <row r="25" spans="2:16" x14ac:dyDescent="0.25">
      <c r="D25" t="s">
        <v>192</v>
      </c>
      <c r="E25">
        <f>retail_units(Inventory!E23, E26)</f>
        <v>2</v>
      </c>
      <c r="F25">
        <f>retail_units(Inventory!F23, F26)</f>
        <v>10</v>
      </c>
      <c r="G25">
        <f>retail_units(Inventory!G23, G26)</f>
        <v>22</v>
      </c>
      <c r="H25">
        <f>retail_units(Inventory!H23, H26)</f>
        <v>40</v>
      </c>
      <c r="I25">
        <f>retail_units(Inventory!I23, I26)</f>
        <v>62</v>
      </c>
      <c r="J25">
        <f>retail_units(Inventory!J23, J26)</f>
        <v>90</v>
      </c>
      <c r="K25">
        <f>retail_units(Inventory!K23, K26)</f>
        <v>123</v>
      </c>
      <c r="L25">
        <f>retail_units(Inventory!L23, L26)</f>
        <v>161</v>
      </c>
      <c r="M25">
        <f>retail_units(Inventory!M23, M26)</f>
        <v>204</v>
      </c>
      <c r="N25">
        <f>retail_units(Inventory!N23, N26)</f>
        <v>252</v>
      </c>
      <c r="O25">
        <f>retail_units(Inventory!O23, O26)</f>
        <v>305</v>
      </c>
      <c r="P25">
        <f>retail_units(Inventory!P23, P26)</f>
        <v>363</v>
      </c>
    </row>
    <row r="26" spans="2:16" x14ac:dyDescent="0.25">
      <c r="D26" t="s">
        <v>193</v>
      </c>
      <c r="E26">
        <f>wholesale_units(E2, Wholesale, Product4, All_Products)</f>
        <v>2</v>
      </c>
      <c r="F26">
        <f>wholesale_units(F2, Wholesale, Product4, All_Products)</f>
        <v>10</v>
      </c>
      <c r="G26">
        <f>wholesale_units(G2, Wholesale, Product4, All_Products)</f>
        <v>22</v>
      </c>
      <c r="H26">
        <f>wholesale_units(H2, Wholesale, Product4, All_Products)</f>
        <v>40</v>
      </c>
      <c r="I26">
        <f>wholesale_units(I2, Wholesale, Product4, All_Products)</f>
        <v>62</v>
      </c>
      <c r="J26">
        <f>wholesale_units(J2, Wholesale, Product4, All_Products)</f>
        <v>90</v>
      </c>
      <c r="K26">
        <f>wholesale_units(K2, Wholesale, Product4, All_Products)</f>
        <v>122</v>
      </c>
      <c r="L26">
        <f>wholesale_units(L2, Wholesale, Product4, All_Products)</f>
        <v>160</v>
      </c>
      <c r="M26">
        <f>wholesale_units(M2, Wholesale, Product4, All_Products)</f>
        <v>202</v>
      </c>
      <c r="N26">
        <f>wholesale_units(N2, Wholesale, Product4, All_Products)</f>
        <v>250</v>
      </c>
      <c r="O26">
        <f>wholesale_units(O2, Wholesale, Product4, All_Products)</f>
        <v>302</v>
      </c>
      <c r="P26">
        <f>wholesale_units(P2, Wholesale, Product4, All_Products)</f>
        <v>360</v>
      </c>
    </row>
    <row r="28" spans="2:16" x14ac:dyDescent="0.25">
      <c r="D28" t="s">
        <v>194</v>
      </c>
      <c r="E28">
        <f>all_products_retail_sales(E2, AllSales,4)</f>
        <v>160</v>
      </c>
      <c r="F28">
        <f>all_products_retail_sales(F2, AllSales,4)</f>
        <v>800</v>
      </c>
      <c r="G28">
        <f>all_products_retail_sales(G2, AllSales,4)</f>
        <v>1760</v>
      </c>
      <c r="H28">
        <f>all_products_retail_sales(H2, AllSales,4)</f>
        <v>3200</v>
      </c>
      <c r="I28">
        <f>all_products_retail_sales(I2, AllSales,4)</f>
        <v>4960</v>
      </c>
      <c r="J28">
        <f>all_products_retail_sales(J2, AllSales,4)</f>
        <v>7200</v>
      </c>
      <c r="K28">
        <f>all_products_retail_sales(K2, AllSales,4)</f>
        <v>9840</v>
      </c>
      <c r="L28">
        <f>all_products_retail_sales(L2, AllSales,4)</f>
        <v>12880</v>
      </c>
      <c r="M28">
        <f>all_products_retail_sales(M2, AllSales,4)</f>
        <v>16320</v>
      </c>
      <c r="N28">
        <f>all_products_retail_sales(N2, AllSales,4)</f>
        <v>20160</v>
      </c>
      <c r="O28">
        <f>all_products_retail_sales(O2, AllSales,4)</f>
        <v>24400</v>
      </c>
      <c r="P28">
        <f>all_products_retail_sales(P2, AllSales,4)</f>
        <v>29040</v>
      </c>
    </row>
    <row r="29" spans="2:16" x14ac:dyDescent="0.25">
      <c r="D29" t="s">
        <v>195</v>
      </c>
      <c r="E29">
        <f>all_products_ws_sales(E2, AllSales,4)</f>
        <v>0</v>
      </c>
      <c r="F29">
        <f>all_products_ws_sales(F2, AllSales,4)</f>
        <v>0</v>
      </c>
      <c r="G29">
        <f>all_products_ws_sales(G2, AllSales,4)</f>
        <v>0</v>
      </c>
      <c r="H29">
        <f>all_products_ws_sales(H2, AllSales,4)</f>
        <v>0</v>
      </c>
      <c r="I29">
        <f>all_products_ws_sales(I2, AllSales,4)</f>
        <v>0</v>
      </c>
      <c r="J29">
        <f>all_products_ws_sales(J2, AllSales,4)</f>
        <v>0</v>
      </c>
      <c r="K29">
        <f>all_products_ws_sales(K2, AllSales,4)</f>
        <v>0</v>
      </c>
      <c r="L29">
        <f>all_products_ws_sales(L2, AllSales,4)</f>
        <v>0</v>
      </c>
      <c r="M29">
        <f>all_products_ws_sales(M2, AllSales,4)</f>
        <v>0</v>
      </c>
      <c r="N29">
        <f>all_products_ws_sales(N2, AllSales,4)</f>
        <v>0</v>
      </c>
      <c r="O29">
        <f>all_products_ws_sales(O2, AllSales,4)</f>
        <v>0</v>
      </c>
      <c r="P29">
        <f>all_products_ws_sales(P2, AllSales,4)</f>
        <v>0</v>
      </c>
    </row>
    <row r="30" spans="2:16" x14ac:dyDescent="0.25">
      <c r="D30" t="s">
        <v>196</v>
      </c>
      <c r="E30">
        <f t="shared" ref="E30:P30" si="4">SUM(E28:E29)</f>
        <v>160</v>
      </c>
      <c r="F30">
        <f t="shared" si="4"/>
        <v>800</v>
      </c>
      <c r="G30">
        <f t="shared" si="4"/>
        <v>1760</v>
      </c>
      <c r="H30">
        <f t="shared" si="4"/>
        <v>3200</v>
      </c>
      <c r="I30">
        <f t="shared" si="4"/>
        <v>4960</v>
      </c>
      <c r="J30">
        <f t="shared" si="4"/>
        <v>7200</v>
      </c>
      <c r="K30">
        <f t="shared" si="4"/>
        <v>9840</v>
      </c>
      <c r="L30">
        <f t="shared" si="4"/>
        <v>12880</v>
      </c>
      <c r="M30">
        <f t="shared" si="4"/>
        <v>16320</v>
      </c>
      <c r="N30">
        <f t="shared" si="4"/>
        <v>20160</v>
      </c>
      <c r="O30">
        <f t="shared" si="4"/>
        <v>24400</v>
      </c>
      <c r="P30">
        <f t="shared" si="4"/>
        <v>29040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"/>
  <sheetViews>
    <sheetView workbookViewId="0"/>
  </sheetViews>
  <sheetFormatPr defaultRowHeight="15" x14ac:dyDescent="0.25"/>
  <sheetData>
    <row r="1" spans="1:16" x14ac:dyDescent="0.25">
      <c r="A1" t="s">
        <v>197</v>
      </c>
      <c r="E1" t="s">
        <v>104</v>
      </c>
    </row>
    <row r="2" spans="1:16" x14ac:dyDescent="0.25"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N2">
        <v>10</v>
      </c>
      <c r="O2">
        <v>11</v>
      </c>
      <c r="P2">
        <v>12</v>
      </c>
    </row>
    <row r="4" spans="1:16" x14ac:dyDescent="0.25">
      <c r="B4" t="str">
        <f>OperatingAssumptions!$E4</f>
        <v>Product 1</v>
      </c>
      <c r="D4" t="s">
        <v>198</v>
      </c>
      <c r="E4">
        <f>Inventory!E6</f>
        <v>600</v>
      </c>
      <c r="F4">
        <f>Inventory!F6</f>
        <v>0</v>
      </c>
      <c r="G4">
        <f>Inventory!G6</f>
        <v>0</v>
      </c>
      <c r="H4">
        <f>Inventory!H6</f>
        <v>0</v>
      </c>
      <c r="I4">
        <f>Inventory!I6</f>
        <v>0</v>
      </c>
      <c r="J4">
        <f>Inventory!J6</f>
        <v>0</v>
      </c>
      <c r="K4">
        <f>Inventory!K6</f>
        <v>600</v>
      </c>
      <c r="L4">
        <f>Inventory!L6</f>
        <v>0</v>
      </c>
      <c r="M4">
        <f>Inventory!M6</f>
        <v>600</v>
      </c>
      <c r="N4">
        <f>Inventory!N6</f>
        <v>600</v>
      </c>
      <c r="O4">
        <f>Inventory!O6</f>
        <v>600</v>
      </c>
      <c r="P4">
        <f>Inventory!P6</f>
        <v>600</v>
      </c>
    </row>
    <row r="5" spans="1:16" x14ac:dyDescent="0.25">
      <c r="D5" t="s">
        <v>199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x14ac:dyDescent="0.25">
      <c r="D6" t="s">
        <v>200</v>
      </c>
      <c r="E6">
        <f>Inventory!E5</f>
        <v>4</v>
      </c>
      <c r="F6">
        <f>Inventory!F5</f>
        <v>20</v>
      </c>
      <c r="G6">
        <f>Inventory!G5</f>
        <v>44</v>
      </c>
      <c r="H6">
        <f>Inventory!H5</f>
        <v>80</v>
      </c>
      <c r="I6">
        <f>Inventory!I5</f>
        <v>124</v>
      </c>
      <c r="J6">
        <f>Inventory!J5</f>
        <v>180</v>
      </c>
      <c r="K6">
        <f>Inventory!K5</f>
        <v>245</v>
      </c>
      <c r="L6">
        <f>Inventory!L5</f>
        <v>321</v>
      </c>
      <c r="M6">
        <f>Inventory!M5</f>
        <v>406</v>
      </c>
      <c r="N6">
        <f>Inventory!N5</f>
        <v>502</v>
      </c>
      <c r="O6">
        <f>Inventory!O5</f>
        <v>607</v>
      </c>
      <c r="P6">
        <f>Inventory!P5</f>
        <v>723</v>
      </c>
    </row>
    <row r="7" spans="1:16" x14ac:dyDescent="0.25">
      <c r="D7" t="s">
        <v>201</v>
      </c>
      <c r="E7">
        <f>monthly_cost_per_product(Product1, E6)</f>
        <v>42.5</v>
      </c>
      <c r="F7">
        <f>monthly_cost_per_product(Product1, F6)</f>
        <v>212.5</v>
      </c>
      <c r="G7">
        <f>monthly_cost_per_product(Product1, G6)</f>
        <v>467.5</v>
      </c>
      <c r="H7">
        <f>monthly_cost_per_product(Product1, H6)</f>
        <v>850</v>
      </c>
      <c r="I7">
        <f>monthly_cost_per_product(Product1, I6)</f>
        <v>1317.5</v>
      </c>
      <c r="J7">
        <f>monthly_cost_per_product(Product1, J6)</f>
        <v>1912.5</v>
      </c>
      <c r="K7">
        <f>monthly_cost_per_product(Product1, K6)</f>
        <v>2603.12</v>
      </c>
      <c r="L7">
        <f>monthly_cost_per_product(Product1, L6)</f>
        <v>3410.62</v>
      </c>
      <c r="M7">
        <f>monthly_cost_per_product(Product1, M6)</f>
        <v>4313.75</v>
      </c>
      <c r="N7">
        <f>monthly_cost_per_product(Product1, N6)</f>
        <v>5333.75</v>
      </c>
      <c r="O7">
        <f>monthly_cost_per_product(Product1, O6)</f>
        <v>6449.38</v>
      </c>
      <c r="P7">
        <f>monthly_cost_per_product(Product1, P6)</f>
        <v>7681.88</v>
      </c>
    </row>
    <row r="9" spans="1:16" x14ac:dyDescent="0.25">
      <c r="B9" t="str">
        <f>OperatingAssumptions!$E32</f>
        <v>Product 2</v>
      </c>
      <c r="D9" t="s">
        <v>198</v>
      </c>
      <c r="E9">
        <f>Inventory!E12</f>
        <v>600</v>
      </c>
      <c r="F9">
        <f>Inventory!F12</f>
        <v>0</v>
      </c>
      <c r="G9">
        <f>Inventory!G12</f>
        <v>0</v>
      </c>
      <c r="H9">
        <f>Inventory!H12</f>
        <v>0</v>
      </c>
      <c r="I9">
        <f>Inventory!I12</f>
        <v>0</v>
      </c>
      <c r="J9">
        <f>Inventory!J12</f>
        <v>0</v>
      </c>
      <c r="K9">
        <f>Inventory!K12</f>
        <v>600</v>
      </c>
      <c r="L9">
        <f>Inventory!L12</f>
        <v>0</v>
      </c>
      <c r="M9">
        <f>Inventory!M12</f>
        <v>600</v>
      </c>
      <c r="N9">
        <f>Inventory!N12</f>
        <v>600</v>
      </c>
      <c r="O9">
        <f>Inventory!O12</f>
        <v>600</v>
      </c>
      <c r="P9">
        <f>Inventory!P12</f>
        <v>600</v>
      </c>
    </row>
    <row r="10" spans="1:16" x14ac:dyDescent="0.25">
      <c r="D10" t="s">
        <v>199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 x14ac:dyDescent="0.25">
      <c r="D11" t="s">
        <v>200</v>
      </c>
      <c r="E11">
        <f>Inventory!E11</f>
        <v>4</v>
      </c>
      <c r="F11">
        <f>Inventory!F11</f>
        <v>20</v>
      </c>
      <c r="G11">
        <f>Inventory!G11</f>
        <v>44</v>
      </c>
      <c r="H11">
        <f>Inventory!H11</f>
        <v>80</v>
      </c>
      <c r="I11">
        <f>Inventory!I11</f>
        <v>124</v>
      </c>
      <c r="J11">
        <f>Inventory!J11</f>
        <v>180</v>
      </c>
      <c r="K11">
        <f>Inventory!K11</f>
        <v>245</v>
      </c>
      <c r="L11">
        <f>Inventory!L11</f>
        <v>321</v>
      </c>
      <c r="M11">
        <f>Inventory!M11</f>
        <v>406</v>
      </c>
      <c r="N11">
        <f>Inventory!N11</f>
        <v>502</v>
      </c>
      <c r="O11">
        <f>Inventory!O11</f>
        <v>607</v>
      </c>
      <c r="P11">
        <f>Inventory!P11</f>
        <v>723</v>
      </c>
    </row>
    <row r="12" spans="1:16" x14ac:dyDescent="0.25">
      <c r="D12" t="s">
        <v>201</v>
      </c>
      <c r="E12">
        <f>monthly_cost_per_product(Product2, E11)</f>
        <v>42.5</v>
      </c>
      <c r="F12">
        <f>monthly_cost_per_product(Product2, F11)</f>
        <v>212.5</v>
      </c>
      <c r="G12">
        <f>monthly_cost_per_product(Product2, G11)</f>
        <v>467.5</v>
      </c>
      <c r="H12">
        <f>monthly_cost_per_product(Product2, H11)</f>
        <v>850</v>
      </c>
      <c r="I12">
        <f>monthly_cost_per_product(Product2, I11)</f>
        <v>1317.5</v>
      </c>
      <c r="J12">
        <f>monthly_cost_per_product(Product2, J11)</f>
        <v>1912.5</v>
      </c>
      <c r="K12">
        <f>monthly_cost_per_product(Product2, K11)</f>
        <v>2603.12</v>
      </c>
      <c r="L12">
        <f>monthly_cost_per_product(Product2, L11)</f>
        <v>3410.62</v>
      </c>
      <c r="M12">
        <f>monthly_cost_per_product(Product2, M11)</f>
        <v>4313.75</v>
      </c>
      <c r="N12">
        <f>monthly_cost_per_product(Product2, N11)</f>
        <v>5333.75</v>
      </c>
      <c r="O12">
        <f>monthly_cost_per_product(Product2, O11)</f>
        <v>6449.38</v>
      </c>
      <c r="P12">
        <f>monthly_cost_per_product(Product2, P11)</f>
        <v>7681.88</v>
      </c>
    </row>
    <row r="14" spans="1:16" x14ac:dyDescent="0.25">
      <c r="B14" t="str">
        <f>OperatingAssumptions!$E60</f>
        <v>Product 3</v>
      </c>
      <c r="D14" t="s">
        <v>198</v>
      </c>
      <c r="E14">
        <f>Inventory!E18</f>
        <v>600</v>
      </c>
      <c r="F14">
        <f>Inventory!F18</f>
        <v>0</v>
      </c>
      <c r="G14">
        <f>Inventory!G18</f>
        <v>0</v>
      </c>
      <c r="H14">
        <f>Inventory!H18</f>
        <v>0</v>
      </c>
      <c r="I14">
        <f>Inventory!I18</f>
        <v>0</v>
      </c>
      <c r="J14">
        <f>Inventory!J18</f>
        <v>0</v>
      </c>
      <c r="K14">
        <f>Inventory!K18</f>
        <v>600</v>
      </c>
      <c r="L14">
        <f>Inventory!L18</f>
        <v>0</v>
      </c>
      <c r="M14">
        <f>Inventory!M18</f>
        <v>600</v>
      </c>
      <c r="N14">
        <f>Inventory!N18</f>
        <v>600</v>
      </c>
      <c r="O14">
        <f>Inventory!O18</f>
        <v>600</v>
      </c>
      <c r="P14">
        <f>Inventory!P18</f>
        <v>600</v>
      </c>
    </row>
    <row r="15" spans="1:16" x14ac:dyDescent="0.25">
      <c r="D15" t="s">
        <v>199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1:16" x14ac:dyDescent="0.25">
      <c r="D16" t="s">
        <v>200</v>
      </c>
      <c r="E16">
        <f>Inventory!E17</f>
        <v>4</v>
      </c>
      <c r="F16">
        <f>Inventory!F17</f>
        <v>20</v>
      </c>
      <c r="G16">
        <f>Inventory!G17</f>
        <v>44</v>
      </c>
      <c r="H16">
        <f>Inventory!H17</f>
        <v>80</v>
      </c>
      <c r="I16">
        <f>Inventory!I17</f>
        <v>124</v>
      </c>
      <c r="J16">
        <f>Inventory!J17</f>
        <v>180</v>
      </c>
      <c r="K16">
        <f>Inventory!K17</f>
        <v>245</v>
      </c>
      <c r="L16">
        <f>Inventory!L17</f>
        <v>321</v>
      </c>
      <c r="M16">
        <f>Inventory!M17</f>
        <v>406</v>
      </c>
      <c r="N16">
        <f>Inventory!N17</f>
        <v>502</v>
      </c>
      <c r="O16">
        <f>Inventory!O17</f>
        <v>607</v>
      </c>
      <c r="P16">
        <f>Inventory!P17</f>
        <v>723</v>
      </c>
    </row>
    <row r="17" spans="2:16" x14ac:dyDescent="0.25">
      <c r="D17" t="s">
        <v>201</v>
      </c>
      <c r="E17">
        <f>monthly_cost_per_product(Product3, E16)</f>
        <v>42.5</v>
      </c>
      <c r="F17">
        <f>monthly_cost_per_product(Product3, F16)</f>
        <v>212.5</v>
      </c>
      <c r="G17">
        <f>monthly_cost_per_product(Product3, G16)</f>
        <v>467.5</v>
      </c>
      <c r="H17">
        <f>monthly_cost_per_product(Product3, H16)</f>
        <v>850</v>
      </c>
      <c r="I17">
        <f>monthly_cost_per_product(Product3, I16)</f>
        <v>1317.5</v>
      </c>
      <c r="J17">
        <f>monthly_cost_per_product(Product3, J16)</f>
        <v>1912.5</v>
      </c>
      <c r="K17">
        <f>monthly_cost_per_product(Product3, K16)</f>
        <v>2603.12</v>
      </c>
      <c r="L17">
        <f>monthly_cost_per_product(Product3, L16)</f>
        <v>3410.62</v>
      </c>
      <c r="M17">
        <f>monthly_cost_per_product(Product3, M16)</f>
        <v>4313.75</v>
      </c>
      <c r="N17">
        <f>monthly_cost_per_product(Product3, N16)</f>
        <v>5333.75</v>
      </c>
      <c r="O17">
        <f>monthly_cost_per_product(Product3, O16)</f>
        <v>6449.38</v>
      </c>
      <c r="P17">
        <f>monthly_cost_per_product(Product3, P16)</f>
        <v>7681.88</v>
      </c>
    </row>
    <row r="19" spans="2:16" x14ac:dyDescent="0.25">
      <c r="B19" t="str">
        <f>OperatingAssumptions!$E88</f>
        <v>Product 4</v>
      </c>
      <c r="D19" t="s">
        <v>198</v>
      </c>
      <c r="E19">
        <f>Inventory!E24</f>
        <v>600</v>
      </c>
      <c r="F19">
        <f>Inventory!F24</f>
        <v>0</v>
      </c>
      <c r="G19">
        <f>Inventory!G24</f>
        <v>0</v>
      </c>
      <c r="H19">
        <f>Inventory!H24</f>
        <v>0</v>
      </c>
      <c r="I19">
        <f>Inventory!I24</f>
        <v>0</v>
      </c>
      <c r="J19">
        <f>Inventory!J24</f>
        <v>0</v>
      </c>
      <c r="K19">
        <f>Inventory!K24</f>
        <v>600</v>
      </c>
      <c r="L19">
        <f>Inventory!L24</f>
        <v>0</v>
      </c>
      <c r="M19">
        <f>Inventory!M24</f>
        <v>600</v>
      </c>
      <c r="N19">
        <f>Inventory!N24</f>
        <v>600</v>
      </c>
      <c r="O19">
        <f>Inventory!O24</f>
        <v>600</v>
      </c>
      <c r="P19">
        <f>Inventory!P24</f>
        <v>600</v>
      </c>
    </row>
    <row r="20" spans="2:16" x14ac:dyDescent="0.25">
      <c r="D20" t="s">
        <v>199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2:16" x14ac:dyDescent="0.25">
      <c r="D21" t="s">
        <v>200</v>
      </c>
      <c r="E21">
        <f>Inventory!E23</f>
        <v>4</v>
      </c>
      <c r="F21">
        <f>Inventory!F23</f>
        <v>20</v>
      </c>
      <c r="G21">
        <f>Inventory!G23</f>
        <v>44</v>
      </c>
      <c r="H21">
        <f>Inventory!H23</f>
        <v>80</v>
      </c>
      <c r="I21">
        <f>Inventory!I23</f>
        <v>124</v>
      </c>
      <c r="J21">
        <f>Inventory!J23</f>
        <v>180</v>
      </c>
      <c r="K21">
        <f>Inventory!K23</f>
        <v>245</v>
      </c>
      <c r="L21">
        <f>Inventory!L23</f>
        <v>321</v>
      </c>
      <c r="M21">
        <f>Inventory!M23</f>
        <v>406</v>
      </c>
      <c r="N21">
        <f>Inventory!N23</f>
        <v>502</v>
      </c>
      <c r="O21">
        <f>Inventory!O23</f>
        <v>607</v>
      </c>
      <c r="P21">
        <f>Inventory!P23</f>
        <v>723</v>
      </c>
    </row>
    <row r="22" spans="2:16" x14ac:dyDescent="0.25">
      <c r="D22" t="s">
        <v>201</v>
      </c>
      <c r="E22">
        <f>monthly_cost_per_product(Product4, E21)</f>
        <v>42.5</v>
      </c>
      <c r="F22">
        <f>monthly_cost_per_product(Product4, F21)</f>
        <v>212.5</v>
      </c>
      <c r="G22">
        <f>monthly_cost_per_product(Product4, G21)</f>
        <v>467.5</v>
      </c>
      <c r="H22">
        <f>monthly_cost_per_product(Product4, H21)</f>
        <v>850</v>
      </c>
      <c r="I22">
        <f>monthly_cost_per_product(Product4, I21)</f>
        <v>1317.5</v>
      </c>
      <c r="J22">
        <f>monthly_cost_per_product(Product4, J21)</f>
        <v>1912.5</v>
      </c>
      <c r="K22">
        <f>monthly_cost_per_product(Product4, K21)</f>
        <v>2603.12</v>
      </c>
      <c r="L22">
        <f>monthly_cost_per_product(Product4, L21)</f>
        <v>3410.62</v>
      </c>
      <c r="M22">
        <f>monthly_cost_per_product(Product4, M21)</f>
        <v>4313.75</v>
      </c>
      <c r="N22">
        <f>monthly_cost_per_product(Product4, N21)</f>
        <v>5333.75</v>
      </c>
      <c r="O22">
        <f>monthly_cost_per_product(Product4, O21)</f>
        <v>6449.38</v>
      </c>
      <c r="P22">
        <f>monthly_cost_per_product(Product4, P21)</f>
        <v>7681.88</v>
      </c>
    </row>
    <row r="24" spans="2:16" x14ac:dyDescent="0.25">
      <c r="D24" t="s">
        <v>202</v>
      </c>
      <c r="E24">
        <f>all_products_cost(E2, AllCost,4)</f>
        <v>170</v>
      </c>
      <c r="F24">
        <f>all_products_cost(F2, AllCost,4)</f>
        <v>850</v>
      </c>
      <c r="G24">
        <f>all_products_cost(G2, AllCost,4)</f>
        <v>1870</v>
      </c>
      <c r="H24">
        <f>all_products_cost(H2, AllCost,4)</f>
        <v>3400</v>
      </c>
      <c r="I24">
        <f>all_products_cost(I2, AllCost,4)</f>
        <v>5270</v>
      </c>
      <c r="J24">
        <f>all_products_cost(J2, AllCost,4)</f>
        <v>7650</v>
      </c>
      <c r="K24">
        <f>all_products_cost(K2, AllCost,4)</f>
        <v>10412.48</v>
      </c>
      <c r="L24">
        <f>all_products_cost(L2, AllCost,4)</f>
        <v>13642.48</v>
      </c>
      <c r="M24">
        <f>all_products_cost(M2, AllCost,4)</f>
        <v>17255</v>
      </c>
      <c r="N24">
        <f>all_products_cost(N2, AllCost,4)</f>
        <v>21335</v>
      </c>
      <c r="O24">
        <f>all_products_cost(O2, AllCost,4)</f>
        <v>25797.52</v>
      </c>
      <c r="P24">
        <f>all_products_cost(P2, AllCost,4)</f>
        <v>30727.52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2"/>
  <sheetViews>
    <sheetView workbookViewId="0"/>
  </sheetViews>
  <sheetFormatPr defaultRowHeight="15" x14ac:dyDescent="0.25"/>
  <sheetData>
    <row r="1" spans="1:16" x14ac:dyDescent="0.25">
      <c r="A1" t="s">
        <v>203</v>
      </c>
      <c r="E1" t="s">
        <v>104</v>
      </c>
    </row>
    <row r="2" spans="1:16" x14ac:dyDescent="0.25"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N2">
        <v>10</v>
      </c>
      <c r="O2">
        <v>11</v>
      </c>
      <c r="P2">
        <v>12</v>
      </c>
    </row>
    <row r="3" spans="1:16" x14ac:dyDescent="0.25">
      <c r="C3" t="str">
        <f>OperatingAssumptions!$H4</f>
        <v>General_Sales_and_Marketing1</v>
      </c>
      <c r="E3">
        <f>employee_cost(E2, General_Sales_and_Marketing1)</f>
        <v>3333.33</v>
      </c>
      <c r="F3">
        <f>employee_cost(F2, General_Sales_and_Marketing1)</f>
        <v>3333.33</v>
      </c>
      <c r="G3">
        <f>employee_cost(G2, General_Sales_and_Marketing1)</f>
        <v>3333.33</v>
      </c>
      <c r="H3">
        <f>employee_cost(H2, General_Sales_and_Marketing1)</f>
        <v>3333.33</v>
      </c>
      <c r="I3">
        <f>employee_cost(I2, General_Sales_and_Marketing1)</f>
        <v>3333.33</v>
      </c>
      <c r="J3">
        <f>employee_cost(J2, General_Sales_and_Marketing1)</f>
        <v>3333.33</v>
      </c>
      <c r="K3">
        <f>employee_cost(K2, General_Sales_and_Marketing1)</f>
        <v>6666.67</v>
      </c>
      <c r="L3">
        <f>employee_cost(L2, General_Sales_and_Marketing1)</f>
        <v>6666.67</v>
      </c>
      <c r="M3">
        <f>employee_cost(M2, General_Sales_and_Marketing1)</f>
        <v>6666.67</v>
      </c>
      <c r="N3">
        <f>employee_cost(N2, General_Sales_and_Marketing1)</f>
        <v>6666.67</v>
      </c>
      <c r="O3">
        <f>employee_cost(O2, General_Sales_and_Marketing1)</f>
        <v>6666.67</v>
      </c>
      <c r="P3">
        <f>employee_cost(P2, General_Sales_and_Marketing1)</f>
        <v>6666.67</v>
      </c>
    </row>
    <row r="4" spans="1:16" x14ac:dyDescent="0.25">
      <c r="C4" t="str">
        <f>OperatingAssumptions!$H10</f>
        <v>General_Sales_and_Marketing2</v>
      </c>
      <c r="E4">
        <f>employee_cost(E2, General_Sales_and_Marketing2)</f>
        <v>3333.33</v>
      </c>
      <c r="F4">
        <f>employee_cost(F2, General_Sales_and_Marketing2)</f>
        <v>3333.33</v>
      </c>
      <c r="G4">
        <f>employee_cost(G2, General_Sales_and_Marketing2)</f>
        <v>3333.33</v>
      </c>
      <c r="H4">
        <f>employee_cost(H2, General_Sales_and_Marketing2)</f>
        <v>3333.33</v>
      </c>
      <c r="I4">
        <f>employee_cost(I2, General_Sales_and_Marketing2)</f>
        <v>3333.33</v>
      </c>
      <c r="J4">
        <f>employee_cost(J2, General_Sales_and_Marketing2)</f>
        <v>3333.33</v>
      </c>
      <c r="K4">
        <f>employee_cost(K2, General_Sales_and_Marketing2)</f>
        <v>6666.67</v>
      </c>
      <c r="L4">
        <f>employee_cost(L2, General_Sales_and_Marketing2)</f>
        <v>6666.67</v>
      </c>
      <c r="M4">
        <f>employee_cost(M2, General_Sales_and_Marketing2)</f>
        <v>6666.67</v>
      </c>
      <c r="N4">
        <f>employee_cost(N2, General_Sales_and_Marketing2)</f>
        <v>6666.67</v>
      </c>
      <c r="O4">
        <f>employee_cost(O2, General_Sales_and_Marketing2)</f>
        <v>6666.67</v>
      </c>
      <c r="P4">
        <f>employee_cost(P2, General_Sales_and_Marketing2)</f>
        <v>6666.67</v>
      </c>
    </row>
    <row r="5" spans="1:16" x14ac:dyDescent="0.25">
      <c r="C5" t="str">
        <f>OperatingAssumptions!$H16</f>
        <v>General_Sales_and_Marketing3</v>
      </c>
      <c r="E5">
        <f>employee_cost(E2, General_Sales_and_Marketing3)</f>
        <v>3333.33</v>
      </c>
      <c r="F5">
        <f>employee_cost(F2, General_Sales_and_Marketing3)</f>
        <v>3333.33</v>
      </c>
      <c r="G5">
        <f>employee_cost(G2, General_Sales_and_Marketing3)</f>
        <v>3333.33</v>
      </c>
      <c r="H5">
        <f>employee_cost(H2, General_Sales_and_Marketing3)</f>
        <v>3333.33</v>
      </c>
      <c r="I5">
        <f>employee_cost(I2, General_Sales_and_Marketing3)</f>
        <v>3333.33</v>
      </c>
      <c r="J5">
        <f>employee_cost(J2, General_Sales_and_Marketing3)</f>
        <v>3333.33</v>
      </c>
      <c r="K5">
        <f>employee_cost(K2, General_Sales_and_Marketing3)</f>
        <v>6666.67</v>
      </c>
      <c r="L5">
        <f>employee_cost(L2, General_Sales_and_Marketing3)</f>
        <v>6666.67</v>
      </c>
      <c r="M5">
        <f>employee_cost(M2, General_Sales_and_Marketing3)</f>
        <v>6666.67</v>
      </c>
      <c r="N5">
        <f>employee_cost(N2, General_Sales_and_Marketing3)</f>
        <v>6666.67</v>
      </c>
      <c r="O5">
        <f>employee_cost(O2, General_Sales_and_Marketing3)</f>
        <v>6666.67</v>
      </c>
      <c r="P5">
        <f>employee_cost(P2, General_Sales_and_Marketing3)</f>
        <v>6666.67</v>
      </c>
    </row>
    <row r="6" spans="1:16" x14ac:dyDescent="0.25">
      <c r="C6" t="str">
        <f>OperatingAssumptions!$H23</f>
        <v>Research_and_Development1</v>
      </c>
      <c r="E6">
        <f>employee_cost(E2, Research_and_Development1)</f>
        <v>3333.33</v>
      </c>
      <c r="F6">
        <f>employee_cost(F2, Research_and_Development1)</f>
        <v>3333.33</v>
      </c>
      <c r="G6">
        <f>employee_cost(G2, Research_and_Development1)</f>
        <v>3333.33</v>
      </c>
      <c r="H6">
        <f>employee_cost(H2, Research_and_Development1)</f>
        <v>3333.33</v>
      </c>
      <c r="I6">
        <f>employee_cost(I2, Research_and_Development1)</f>
        <v>3333.33</v>
      </c>
      <c r="J6">
        <f>employee_cost(J2, Research_and_Development1)</f>
        <v>3333.33</v>
      </c>
      <c r="K6">
        <f>employee_cost(K2, Research_and_Development1)</f>
        <v>6666.67</v>
      </c>
      <c r="L6">
        <f>employee_cost(L2, Research_and_Development1)</f>
        <v>6666.67</v>
      </c>
      <c r="M6">
        <f>employee_cost(M2, Research_and_Development1)</f>
        <v>6666.67</v>
      </c>
      <c r="N6">
        <f>employee_cost(N2, Research_and_Development1)</f>
        <v>6666.67</v>
      </c>
      <c r="O6">
        <f>employee_cost(O2, Research_and_Development1)</f>
        <v>6666.67</v>
      </c>
      <c r="P6">
        <f>employee_cost(P2, Research_and_Development1)</f>
        <v>6666.67</v>
      </c>
    </row>
    <row r="7" spans="1:16" x14ac:dyDescent="0.25">
      <c r="C7" t="str">
        <f>OperatingAssumptions!$H29</f>
        <v>Research_and_Development2</v>
      </c>
      <c r="E7">
        <f>employee_cost(E2, Research_and_Development2)</f>
        <v>3333.33</v>
      </c>
      <c r="F7">
        <f>employee_cost(F2, Research_and_Development2)</f>
        <v>3333.33</v>
      </c>
      <c r="G7">
        <f>employee_cost(G2, Research_and_Development2)</f>
        <v>3333.33</v>
      </c>
      <c r="H7">
        <f>employee_cost(H2, Research_and_Development2)</f>
        <v>3333.33</v>
      </c>
      <c r="I7">
        <f>employee_cost(I2, Research_and_Development2)</f>
        <v>3333.33</v>
      </c>
      <c r="J7">
        <f>employee_cost(J2, Research_and_Development2)</f>
        <v>3333.33</v>
      </c>
      <c r="K7">
        <f>employee_cost(K2, Research_and_Development2)</f>
        <v>6666.67</v>
      </c>
      <c r="L7">
        <f>employee_cost(L2, Research_and_Development2)</f>
        <v>6666.67</v>
      </c>
      <c r="M7">
        <f>employee_cost(M2, Research_and_Development2)</f>
        <v>6666.67</v>
      </c>
      <c r="N7">
        <f>employee_cost(N2, Research_and_Development2)</f>
        <v>6666.67</v>
      </c>
      <c r="O7">
        <f>employee_cost(O2, Research_and_Development2)</f>
        <v>6666.67</v>
      </c>
      <c r="P7">
        <f>employee_cost(P2, Research_and_Development2)</f>
        <v>6666.67</v>
      </c>
    </row>
    <row r="8" spans="1:16" x14ac:dyDescent="0.25">
      <c r="C8" t="str">
        <f>OperatingAssumptions!$H36</f>
        <v>Overhead1</v>
      </c>
      <c r="E8">
        <f>employee_cost(E2, Overhead1)</f>
        <v>3333.33</v>
      </c>
      <c r="F8">
        <f>employee_cost(F2, Overhead1)</f>
        <v>3333.33</v>
      </c>
      <c r="G8">
        <f>employee_cost(G2, Overhead1)</f>
        <v>3333.33</v>
      </c>
      <c r="H8">
        <f>employee_cost(H2, Overhead1)</f>
        <v>3333.33</v>
      </c>
      <c r="I8">
        <f>employee_cost(I2, Overhead1)</f>
        <v>3333.33</v>
      </c>
      <c r="J8">
        <f>employee_cost(J2, Overhead1)</f>
        <v>3333.33</v>
      </c>
      <c r="K8">
        <f>employee_cost(K2, Overhead1)</f>
        <v>6666.67</v>
      </c>
      <c r="L8">
        <f>employee_cost(L2, Overhead1)</f>
        <v>6666.67</v>
      </c>
      <c r="M8">
        <f>employee_cost(M2, Overhead1)</f>
        <v>6666.67</v>
      </c>
      <c r="N8">
        <f>employee_cost(N2, Overhead1)</f>
        <v>6666.67</v>
      </c>
      <c r="O8">
        <f>employee_cost(O2, Overhead1)</f>
        <v>6666.67</v>
      </c>
      <c r="P8">
        <f>employee_cost(P2, Overhead1)</f>
        <v>6666.67</v>
      </c>
    </row>
    <row r="10" spans="1:16" x14ac:dyDescent="0.25">
      <c r="C10" t="s">
        <v>204</v>
      </c>
      <c r="E10">
        <f t="shared" ref="E10:P10" si="0">SUM(E3:E8)</f>
        <v>19999.980000000003</v>
      </c>
      <c r="F10">
        <f t="shared" si="0"/>
        <v>19999.980000000003</v>
      </c>
      <c r="G10">
        <f t="shared" si="0"/>
        <v>19999.980000000003</v>
      </c>
      <c r="H10">
        <f t="shared" si="0"/>
        <v>19999.980000000003</v>
      </c>
      <c r="I10">
        <f t="shared" si="0"/>
        <v>19999.980000000003</v>
      </c>
      <c r="J10">
        <f t="shared" si="0"/>
        <v>19999.980000000003</v>
      </c>
      <c r="K10">
        <f t="shared" si="0"/>
        <v>40000.019999999997</v>
      </c>
      <c r="L10">
        <f t="shared" si="0"/>
        <v>40000.019999999997</v>
      </c>
      <c r="M10">
        <f t="shared" si="0"/>
        <v>40000.019999999997</v>
      </c>
      <c r="N10">
        <f t="shared" si="0"/>
        <v>40000.019999999997</v>
      </c>
      <c r="O10">
        <f t="shared" si="0"/>
        <v>40000.019999999997</v>
      </c>
      <c r="P10">
        <f t="shared" si="0"/>
        <v>40000.019999999997</v>
      </c>
    </row>
    <row r="11" spans="1:16" x14ac:dyDescent="0.25">
      <c r="C11" t="s">
        <v>205</v>
      </c>
      <c r="E11">
        <f>tax_and_benefits(E10, EmployeeBonus)</f>
        <v>1383</v>
      </c>
      <c r="F11">
        <f>tax_and_benefits(F10, EmployeeBonus)</f>
        <v>1383</v>
      </c>
      <c r="G11">
        <f>tax_and_benefits(G10, EmployeeBonus)</f>
        <v>1383</v>
      </c>
      <c r="H11">
        <f>tax_and_benefits(H10, EmployeeBonus)</f>
        <v>1383</v>
      </c>
      <c r="I11">
        <f>tax_and_benefits(I10, EmployeeBonus)</f>
        <v>1383</v>
      </c>
      <c r="J11">
        <f>tax_and_benefits(J10, EmployeeBonus)</f>
        <v>1383</v>
      </c>
      <c r="K11">
        <f>tax_and_benefits(K10, EmployeeBonus)</f>
        <v>2503</v>
      </c>
      <c r="L11">
        <f>tax_and_benefits(L10, EmployeeBonus)</f>
        <v>2503</v>
      </c>
      <c r="M11">
        <f>tax_and_benefits(M10, EmployeeBonus)</f>
        <v>2503</v>
      </c>
      <c r="N11">
        <f>tax_and_benefits(N10, EmployeeBonus)</f>
        <v>2503</v>
      </c>
      <c r="O11">
        <f>tax_and_benefits(O10, EmployeeBonus)</f>
        <v>2503</v>
      </c>
      <c r="P11">
        <f>tax_and_benefits(P10, EmployeeBonus)</f>
        <v>2503</v>
      </c>
    </row>
    <row r="12" spans="1:16" x14ac:dyDescent="0.25">
      <c r="C12" t="s">
        <v>206</v>
      </c>
      <c r="E12">
        <f t="shared" ref="E12:P12" si="1">SUM(E10:E11)</f>
        <v>21382.980000000003</v>
      </c>
      <c r="F12">
        <f t="shared" si="1"/>
        <v>21382.980000000003</v>
      </c>
      <c r="G12">
        <f t="shared" si="1"/>
        <v>21382.980000000003</v>
      </c>
      <c r="H12">
        <f t="shared" si="1"/>
        <v>21382.980000000003</v>
      </c>
      <c r="I12">
        <f t="shared" si="1"/>
        <v>21382.980000000003</v>
      </c>
      <c r="J12">
        <f t="shared" si="1"/>
        <v>21382.980000000003</v>
      </c>
      <c r="K12">
        <f t="shared" si="1"/>
        <v>42503.02</v>
      </c>
      <c r="L12">
        <f t="shared" si="1"/>
        <v>42503.02</v>
      </c>
      <c r="M12">
        <f t="shared" si="1"/>
        <v>42503.02</v>
      </c>
      <c r="N12">
        <f t="shared" si="1"/>
        <v>42503.02</v>
      </c>
      <c r="O12">
        <f t="shared" si="1"/>
        <v>42503.02</v>
      </c>
      <c r="P12">
        <f t="shared" si="1"/>
        <v>42503.02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4"/>
  <sheetViews>
    <sheetView workbookViewId="0"/>
  </sheetViews>
  <sheetFormatPr defaultRowHeight="15" x14ac:dyDescent="0.25"/>
  <sheetData>
    <row r="1" spans="1:16" x14ac:dyDescent="0.25">
      <c r="A1" t="s">
        <v>207</v>
      </c>
      <c r="E1" t="s">
        <v>104</v>
      </c>
    </row>
    <row r="2" spans="1:16" x14ac:dyDescent="0.25"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N2">
        <v>10</v>
      </c>
      <c r="O2">
        <v>11</v>
      </c>
      <c r="P2">
        <v>12</v>
      </c>
    </row>
    <row r="3" spans="1:16" x14ac:dyDescent="0.25">
      <c r="A3" t="s">
        <v>208</v>
      </c>
    </row>
    <row r="4" spans="1:16" x14ac:dyDescent="0.25">
      <c r="D4" t="str">
        <f>OperatingAssumptions!$Q4</f>
        <v>Asset 1</v>
      </c>
      <c r="E4">
        <f>asset_monthly_cost(E2, OperatingAssumptions!$Q5, OperatingAssumptions!$Q6, OperatingAssumptions!$Q7)</f>
        <v>166.67</v>
      </c>
      <c r="F4">
        <f>asset_monthly_cost(F2, OperatingAssumptions!$Q5, OperatingAssumptions!$Q6, OperatingAssumptions!$Q7)</f>
        <v>166.67</v>
      </c>
      <c r="G4">
        <f>asset_monthly_cost(G2, OperatingAssumptions!$Q5, OperatingAssumptions!$Q6, OperatingAssumptions!$Q7)</f>
        <v>166.67</v>
      </c>
      <c r="H4">
        <f>asset_monthly_cost(H2, OperatingAssumptions!$Q5, OperatingAssumptions!$Q6, OperatingAssumptions!$Q7)</f>
        <v>166.67</v>
      </c>
      <c r="I4">
        <f>asset_monthly_cost(I2, OperatingAssumptions!$Q5, OperatingAssumptions!$Q6, OperatingAssumptions!$Q7)</f>
        <v>166.67</v>
      </c>
      <c r="J4">
        <f>asset_monthly_cost(J2, OperatingAssumptions!$Q5, OperatingAssumptions!$Q6, OperatingAssumptions!$Q7)</f>
        <v>166.67</v>
      </c>
      <c r="K4">
        <f>asset_monthly_cost(K2, OperatingAssumptions!$Q5, OperatingAssumptions!$Q6, OperatingAssumptions!$Q7)</f>
        <v>166.67</v>
      </c>
      <c r="L4">
        <f>asset_monthly_cost(L2, OperatingAssumptions!$Q5, OperatingAssumptions!$Q6, OperatingAssumptions!$Q7)</f>
        <v>166.67</v>
      </c>
      <c r="M4">
        <f>asset_monthly_cost(M2, OperatingAssumptions!$Q5, OperatingAssumptions!$Q6, OperatingAssumptions!$Q7)</f>
        <v>166.67</v>
      </c>
      <c r="N4">
        <f>asset_monthly_cost(N2, OperatingAssumptions!$Q5, OperatingAssumptions!$Q6, OperatingAssumptions!$Q7)</f>
        <v>166.67</v>
      </c>
      <c r="O4">
        <f>asset_monthly_cost(O2, OperatingAssumptions!$Q5, OperatingAssumptions!$Q6, OperatingAssumptions!$Q7)</f>
        <v>166.67</v>
      </c>
      <c r="P4">
        <f>asset_monthly_cost(P2, OperatingAssumptions!$Q5, OperatingAssumptions!$Q6, OperatingAssumptions!$Q7)</f>
        <v>166.67</v>
      </c>
    </row>
    <row r="5" spans="1:16" x14ac:dyDescent="0.25">
      <c r="D5" t="str">
        <f>OperatingAssumptions!$Q8</f>
        <v>Asset 2</v>
      </c>
      <c r="E5">
        <f>asset_monthly_cost(E2, OperatingAssumptions!$Q9, OperatingAssumptions!$Q10, OperatingAssumptions!$Q11)</f>
        <v>166.67</v>
      </c>
      <c r="F5">
        <f>asset_monthly_cost(F2, OperatingAssumptions!$Q9, OperatingAssumptions!$Q10, OperatingAssumptions!$Q11)</f>
        <v>166.67</v>
      </c>
      <c r="G5">
        <f>asset_monthly_cost(G2, OperatingAssumptions!$Q9, OperatingAssumptions!$Q10, OperatingAssumptions!$Q11)</f>
        <v>166.67</v>
      </c>
      <c r="H5">
        <f>asset_monthly_cost(H2, OperatingAssumptions!$Q9, OperatingAssumptions!$Q10, OperatingAssumptions!$Q11)</f>
        <v>166.67</v>
      </c>
      <c r="I5">
        <f>asset_monthly_cost(I2, OperatingAssumptions!$Q9, OperatingAssumptions!$Q10, OperatingAssumptions!$Q11)</f>
        <v>166.67</v>
      </c>
      <c r="J5">
        <f>asset_monthly_cost(J2, OperatingAssumptions!$Q9, OperatingAssumptions!$Q10, OperatingAssumptions!$Q11)</f>
        <v>166.67</v>
      </c>
      <c r="K5">
        <f>asset_monthly_cost(K2, OperatingAssumptions!$Q9, OperatingAssumptions!$Q10, OperatingAssumptions!$Q11)</f>
        <v>166.67</v>
      </c>
      <c r="L5">
        <f>asset_monthly_cost(L2, OperatingAssumptions!$Q9, OperatingAssumptions!$Q10, OperatingAssumptions!$Q11)</f>
        <v>166.67</v>
      </c>
      <c r="M5">
        <f>asset_monthly_cost(M2, OperatingAssumptions!$Q9, OperatingAssumptions!$Q10, OperatingAssumptions!$Q11)</f>
        <v>166.67</v>
      </c>
      <c r="N5">
        <f>asset_monthly_cost(N2, OperatingAssumptions!$Q9, OperatingAssumptions!$Q10, OperatingAssumptions!$Q11)</f>
        <v>166.67</v>
      </c>
      <c r="O5">
        <f>asset_monthly_cost(O2, OperatingAssumptions!$Q9, OperatingAssumptions!$Q10, OperatingAssumptions!$Q11)</f>
        <v>166.67</v>
      </c>
      <c r="P5">
        <f>asset_monthly_cost(P2, OperatingAssumptions!$Q9, OperatingAssumptions!$Q10, OperatingAssumptions!$Q11)</f>
        <v>166.67</v>
      </c>
    </row>
    <row r="6" spans="1:16" x14ac:dyDescent="0.25">
      <c r="D6" t="str">
        <f>OperatingAssumptions!$Q12</f>
        <v>Asset 3</v>
      </c>
      <c r="E6">
        <f>asset_monthly_cost(E2, OperatingAssumptions!$Q13, OperatingAssumptions!$Q14, OperatingAssumptions!$Q15)</f>
        <v>166.67</v>
      </c>
      <c r="F6">
        <f>asset_monthly_cost(F2, OperatingAssumptions!$Q13, OperatingAssumptions!$Q14, OperatingAssumptions!$Q15)</f>
        <v>166.67</v>
      </c>
      <c r="G6">
        <f>asset_monthly_cost(G2, OperatingAssumptions!$Q13, OperatingAssumptions!$Q14, OperatingAssumptions!$Q15)</f>
        <v>166.67</v>
      </c>
      <c r="H6">
        <f>asset_monthly_cost(H2, OperatingAssumptions!$Q13, OperatingAssumptions!$Q14, OperatingAssumptions!$Q15)</f>
        <v>166.67</v>
      </c>
      <c r="I6">
        <f>asset_monthly_cost(I2, OperatingAssumptions!$Q13, OperatingAssumptions!$Q14, OperatingAssumptions!$Q15)</f>
        <v>166.67</v>
      </c>
      <c r="J6">
        <f>asset_monthly_cost(J2, OperatingAssumptions!$Q13, OperatingAssumptions!$Q14, OperatingAssumptions!$Q15)</f>
        <v>166.67</v>
      </c>
      <c r="K6">
        <f>asset_monthly_cost(K2, OperatingAssumptions!$Q13, OperatingAssumptions!$Q14, OperatingAssumptions!$Q15)</f>
        <v>166.67</v>
      </c>
      <c r="L6">
        <f>asset_monthly_cost(L2, OperatingAssumptions!$Q13, OperatingAssumptions!$Q14, OperatingAssumptions!$Q15)</f>
        <v>166.67</v>
      </c>
      <c r="M6">
        <f>asset_monthly_cost(M2, OperatingAssumptions!$Q13, OperatingAssumptions!$Q14, OperatingAssumptions!$Q15)</f>
        <v>166.67</v>
      </c>
      <c r="N6">
        <f>asset_monthly_cost(N2, OperatingAssumptions!$Q13, OperatingAssumptions!$Q14, OperatingAssumptions!$Q15)</f>
        <v>166.67</v>
      </c>
      <c r="O6">
        <f>asset_monthly_cost(O2, OperatingAssumptions!$Q13, OperatingAssumptions!$Q14, OperatingAssumptions!$Q15)</f>
        <v>166.67</v>
      </c>
      <c r="P6">
        <f>asset_monthly_cost(P2, OperatingAssumptions!$Q13, OperatingAssumptions!$Q14, OperatingAssumptions!$Q15)</f>
        <v>166.67</v>
      </c>
    </row>
    <row r="7" spans="1:16" x14ac:dyDescent="0.25">
      <c r="D7" t="s">
        <v>209</v>
      </c>
      <c r="E7">
        <f t="shared" ref="E7:P7" si="0">SUM(E4:E6)</f>
        <v>500.01</v>
      </c>
      <c r="F7">
        <f t="shared" si="0"/>
        <v>500.01</v>
      </c>
      <c r="G7">
        <f t="shared" si="0"/>
        <v>500.01</v>
      </c>
      <c r="H7">
        <f t="shared" si="0"/>
        <v>500.01</v>
      </c>
      <c r="I7">
        <f t="shared" si="0"/>
        <v>500.01</v>
      </c>
      <c r="J7">
        <f t="shared" si="0"/>
        <v>500.01</v>
      </c>
      <c r="K7">
        <f t="shared" si="0"/>
        <v>500.01</v>
      </c>
      <c r="L7">
        <f t="shared" si="0"/>
        <v>500.01</v>
      </c>
      <c r="M7">
        <f t="shared" si="0"/>
        <v>500.01</v>
      </c>
      <c r="N7">
        <f t="shared" si="0"/>
        <v>500.01</v>
      </c>
      <c r="O7">
        <f t="shared" si="0"/>
        <v>500.01</v>
      </c>
      <c r="P7">
        <f t="shared" si="0"/>
        <v>500.01</v>
      </c>
    </row>
    <row r="9" spans="1:16" x14ac:dyDescent="0.25">
      <c r="A9" t="s">
        <v>210</v>
      </c>
    </row>
    <row r="10" spans="1:16" x14ac:dyDescent="0.25">
      <c r="D10" t="str">
        <f>OperatingAssumptions!$Q17</f>
        <v>Asset 1</v>
      </c>
      <c r="E10">
        <f>asset_monthly_cost(E2, OperatingAssumptions!$Q18, OperatingAssumptions!$Q19, OperatingAssumptions!$Q20)</f>
        <v>166.67</v>
      </c>
      <c r="F10">
        <f>asset_monthly_cost(F2, OperatingAssumptions!$Q18, OperatingAssumptions!$Q19, OperatingAssumptions!$Q20)</f>
        <v>166.67</v>
      </c>
      <c r="G10">
        <f>asset_monthly_cost(G2, OperatingAssumptions!$Q18, OperatingAssumptions!$Q19, OperatingAssumptions!$Q20)</f>
        <v>166.67</v>
      </c>
      <c r="H10">
        <f>asset_monthly_cost(H2, OperatingAssumptions!$Q18, OperatingAssumptions!$Q19, OperatingAssumptions!$Q20)</f>
        <v>166.67</v>
      </c>
      <c r="I10">
        <f>asset_monthly_cost(I2, OperatingAssumptions!$Q18, OperatingAssumptions!$Q19, OperatingAssumptions!$Q20)</f>
        <v>166.67</v>
      </c>
      <c r="J10">
        <f>asset_monthly_cost(J2, OperatingAssumptions!$Q18, OperatingAssumptions!$Q19, OperatingAssumptions!$Q20)</f>
        <v>166.67</v>
      </c>
      <c r="K10">
        <f>asset_monthly_cost(K2, OperatingAssumptions!$Q18, OperatingAssumptions!$Q19, OperatingAssumptions!$Q20)</f>
        <v>166.67</v>
      </c>
      <c r="L10">
        <f>asset_monthly_cost(L2, OperatingAssumptions!$Q18, OperatingAssumptions!$Q19, OperatingAssumptions!$Q20)</f>
        <v>166.67</v>
      </c>
      <c r="M10">
        <f>asset_monthly_cost(M2, OperatingAssumptions!$Q18, OperatingAssumptions!$Q19, OperatingAssumptions!$Q20)</f>
        <v>166.67</v>
      </c>
      <c r="N10">
        <f>asset_monthly_cost(N2, OperatingAssumptions!$Q18, OperatingAssumptions!$Q19, OperatingAssumptions!$Q20)</f>
        <v>166.67</v>
      </c>
      <c r="O10">
        <f>asset_monthly_cost(O2, OperatingAssumptions!$Q18, OperatingAssumptions!$Q19, OperatingAssumptions!$Q20)</f>
        <v>166.67</v>
      </c>
      <c r="P10">
        <f>asset_monthly_cost(P2, OperatingAssumptions!$Q18, OperatingAssumptions!$Q19, OperatingAssumptions!$Q20)</f>
        <v>166.67</v>
      </c>
    </row>
    <row r="11" spans="1:16" x14ac:dyDescent="0.25">
      <c r="D11" t="str">
        <f>OperatingAssumptions!$Q21</f>
        <v>Asset 2</v>
      </c>
      <c r="E11">
        <f>asset_monthly_cost(E2, OperatingAssumptions!$Q22, OperatingAssumptions!$Q23, OperatingAssumptions!$Q24)</f>
        <v>166.67</v>
      </c>
      <c r="F11">
        <f>asset_monthly_cost(F2, OperatingAssumptions!$Q22, OperatingAssumptions!$Q23, OperatingAssumptions!$Q24)</f>
        <v>166.67</v>
      </c>
      <c r="G11">
        <f>asset_monthly_cost(G2, OperatingAssumptions!$Q22, OperatingAssumptions!$Q23, OperatingAssumptions!$Q24)</f>
        <v>166.67</v>
      </c>
      <c r="H11">
        <f>asset_monthly_cost(H2, OperatingAssumptions!$Q22, OperatingAssumptions!$Q23, OperatingAssumptions!$Q24)</f>
        <v>166.67</v>
      </c>
      <c r="I11">
        <f>asset_monthly_cost(I2, OperatingAssumptions!$Q22, OperatingAssumptions!$Q23, OperatingAssumptions!$Q24)</f>
        <v>166.67</v>
      </c>
      <c r="J11">
        <f>asset_monthly_cost(J2, OperatingAssumptions!$Q22, OperatingAssumptions!$Q23, OperatingAssumptions!$Q24)</f>
        <v>166.67</v>
      </c>
      <c r="K11">
        <f>asset_monthly_cost(K2, OperatingAssumptions!$Q22, OperatingAssumptions!$Q23, OperatingAssumptions!$Q24)</f>
        <v>166.67</v>
      </c>
      <c r="L11">
        <f>asset_monthly_cost(L2, OperatingAssumptions!$Q22, OperatingAssumptions!$Q23, OperatingAssumptions!$Q24)</f>
        <v>166.67</v>
      </c>
      <c r="M11">
        <f>asset_monthly_cost(M2, OperatingAssumptions!$Q22, OperatingAssumptions!$Q23, OperatingAssumptions!$Q24)</f>
        <v>166.67</v>
      </c>
      <c r="N11">
        <f>asset_monthly_cost(N2, OperatingAssumptions!$Q22, OperatingAssumptions!$Q23, OperatingAssumptions!$Q24)</f>
        <v>166.67</v>
      </c>
      <c r="O11">
        <f>asset_monthly_cost(O2, OperatingAssumptions!$Q22, OperatingAssumptions!$Q23, OperatingAssumptions!$Q24)</f>
        <v>166.67</v>
      </c>
      <c r="P11">
        <f>asset_monthly_cost(P2, OperatingAssumptions!$Q22, OperatingAssumptions!$Q23, OperatingAssumptions!$Q24)</f>
        <v>166.67</v>
      </c>
    </row>
    <row r="12" spans="1:16" x14ac:dyDescent="0.25">
      <c r="D12" t="str">
        <f>OperatingAssumptions!$Q25</f>
        <v>Asset 3</v>
      </c>
      <c r="E12">
        <f>asset_monthly_cost(E2, OperatingAssumptions!$Q26, OperatingAssumptions!$Q27, OperatingAssumptions!$Q28)</f>
        <v>166.67</v>
      </c>
      <c r="F12">
        <f>asset_monthly_cost(F2, OperatingAssumptions!$Q26, OperatingAssumptions!$Q27, OperatingAssumptions!$Q28)</f>
        <v>166.67</v>
      </c>
      <c r="G12">
        <f>asset_monthly_cost(G2, OperatingAssumptions!$Q26, OperatingAssumptions!$Q27, OperatingAssumptions!$Q28)</f>
        <v>166.67</v>
      </c>
      <c r="H12">
        <f>asset_monthly_cost(H2, OperatingAssumptions!$Q26, OperatingAssumptions!$Q27, OperatingAssumptions!$Q28)</f>
        <v>166.67</v>
      </c>
      <c r="I12">
        <f>asset_monthly_cost(I2, OperatingAssumptions!$Q26, OperatingAssumptions!$Q27, OperatingAssumptions!$Q28)</f>
        <v>166.67</v>
      </c>
      <c r="J12">
        <f>asset_monthly_cost(J2, OperatingAssumptions!$Q26, OperatingAssumptions!$Q27, OperatingAssumptions!$Q28)</f>
        <v>166.67</v>
      </c>
      <c r="K12">
        <f>asset_monthly_cost(K2, OperatingAssumptions!$Q26, OperatingAssumptions!$Q27, OperatingAssumptions!$Q28)</f>
        <v>166.67</v>
      </c>
      <c r="L12">
        <f>asset_monthly_cost(L2, OperatingAssumptions!$Q26, OperatingAssumptions!$Q27, OperatingAssumptions!$Q28)</f>
        <v>166.67</v>
      </c>
      <c r="M12">
        <f>asset_monthly_cost(M2, OperatingAssumptions!$Q26, OperatingAssumptions!$Q27, OperatingAssumptions!$Q28)</f>
        <v>166.67</v>
      </c>
      <c r="N12">
        <f>asset_monthly_cost(N2, OperatingAssumptions!$Q26, OperatingAssumptions!$Q27, OperatingAssumptions!$Q28)</f>
        <v>166.67</v>
      </c>
      <c r="O12">
        <f>asset_monthly_cost(O2, OperatingAssumptions!$Q26, OperatingAssumptions!$Q27, OperatingAssumptions!$Q28)</f>
        <v>166.67</v>
      </c>
      <c r="P12">
        <f>asset_monthly_cost(P2, OperatingAssumptions!$Q26, OperatingAssumptions!$Q27, OperatingAssumptions!$Q28)</f>
        <v>166.67</v>
      </c>
    </row>
    <row r="13" spans="1:16" x14ac:dyDescent="0.25">
      <c r="D13" t="str">
        <f>OperatingAssumptions!$Q29</f>
        <v>Asset 4</v>
      </c>
      <c r="E13">
        <f>asset_monthly_cost(E2, OperatingAssumptions!$Q30, OperatingAssumptions!$Q31, OperatingAssumptions!$Q32)</f>
        <v>166.67</v>
      </c>
      <c r="F13">
        <f>asset_monthly_cost(F2, OperatingAssumptions!$Q30, OperatingAssumptions!$Q31, OperatingAssumptions!$Q32)</f>
        <v>166.67</v>
      </c>
      <c r="G13">
        <f>asset_monthly_cost(G2, OperatingAssumptions!$Q30, OperatingAssumptions!$Q31, OperatingAssumptions!$Q32)</f>
        <v>166.67</v>
      </c>
      <c r="H13">
        <f>asset_monthly_cost(H2, OperatingAssumptions!$Q30, OperatingAssumptions!$Q31, OperatingAssumptions!$Q32)</f>
        <v>166.67</v>
      </c>
      <c r="I13">
        <f>asset_monthly_cost(I2, OperatingAssumptions!$Q30, OperatingAssumptions!$Q31, OperatingAssumptions!$Q32)</f>
        <v>166.67</v>
      </c>
      <c r="J13">
        <f>asset_monthly_cost(J2, OperatingAssumptions!$Q30, OperatingAssumptions!$Q31, OperatingAssumptions!$Q32)</f>
        <v>166.67</v>
      </c>
      <c r="K13">
        <f>asset_monthly_cost(K2, OperatingAssumptions!$Q30, OperatingAssumptions!$Q31, OperatingAssumptions!$Q32)</f>
        <v>166.67</v>
      </c>
      <c r="L13">
        <f>asset_monthly_cost(L2, OperatingAssumptions!$Q30, OperatingAssumptions!$Q31, OperatingAssumptions!$Q32)</f>
        <v>166.67</v>
      </c>
      <c r="M13">
        <f>asset_monthly_cost(M2, OperatingAssumptions!$Q30, OperatingAssumptions!$Q31, OperatingAssumptions!$Q32)</f>
        <v>166.67</v>
      </c>
      <c r="N13">
        <f>asset_monthly_cost(N2, OperatingAssumptions!$Q30, OperatingAssumptions!$Q31, OperatingAssumptions!$Q32)</f>
        <v>166.67</v>
      </c>
      <c r="O13">
        <f>asset_monthly_cost(O2, OperatingAssumptions!$Q30, OperatingAssumptions!$Q31, OperatingAssumptions!$Q32)</f>
        <v>166.67</v>
      </c>
      <c r="P13">
        <f>asset_monthly_cost(P2, OperatingAssumptions!$Q30, OperatingAssumptions!$Q31, OperatingAssumptions!$Q32)</f>
        <v>166.67</v>
      </c>
    </row>
    <row r="14" spans="1:16" x14ac:dyDescent="0.25">
      <c r="D14" t="s">
        <v>209</v>
      </c>
      <c r="E14">
        <f t="shared" ref="E14:P14" si="1">SUM(E10:E13)</f>
        <v>666.68</v>
      </c>
      <c r="F14">
        <f t="shared" si="1"/>
        <v>666.68</v>
      </c>
      <c r="G14">
        <f t="shared" si="1"/>
        <v>666.68</v>
      </c>
      <c r="H14">
        <f t="shared" si="1"/>
        <v>666.68</v>
      </c>
      <c r="I14">
        <f t="shared" si="1"/>
        <v>666.68</v>
      </c>
      <c r="J14">
        <f t="shared" si="1"/>
        <v>666.68</v>
      </c>
      <c r="K14">
        <f t="shared" si="1"/>
        <v>666.68</v>
      </c>
      <c r="L14">
        <f t="shared" si="1"/>
        <v>666.68</v>
      </c>
      <c r="M14">
        <f t="shared" si="1"/>
        <v>666.68</v>
      </c>
      <c r="N14">
        <f t="shared" si="1"/>
        <v>666.68</v>
      </c>
      <c r="O14">
        <f t="shared" si="1"/>
        <v>666.68</v>
      </c>
      <c r="P14">
        <f t="shared" si="1"/>
        <v>666.68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45"/>
  <sheetViews>
    <sheetView workbookViewId="0"/>
  </sheetViews>
  <sheetFormatPr defaultRowHeight="15" x14ac:dyDescent="0.25"/>
  <sheetData>
    <row r="1" spans="1:7" x14ac:dyDescent="0.25">
      <c r="A1" t="s">
        <v>211</v>
      </c>
    </row>
    <row r="4" spans="1:7" x14ac:dyDescent="0.25">
      <c r="A4" t="s">
        <v>212</v>
      </c>
      <c r="B4" t="s">
        <v>213</v>
      </c>
      <c r="C4" t="s">
        <v>214</v>
      </c>
      <c r="D4" t="s">
        <v>215</v>
      </c>
      <c r="E4" t="s">
        <v>216</v>
      </c>
      <c r="F4" t="s">
        <v>217</v>
      </c>
      <c r="G4" t="s">
        <v>218</v>
      </c>
    </row>
    <row r="5" spans="1:7" x14ac:dyDescent="0.25">
      <c r="A5">
        <v>0</v>
      </c>
      <c r="E5">
        <f>OperatingAssumptions!$T13 - (OperatingAssumptions!$T13 * OperatingAssumptions!$T15)</f>
        <v>400000</v>
      </c>
    </row>
    <row r="6" spans="1:7" x14ac:dyDescent="0.25">
      <c r="A6">
        <v>1</v>
      </c>
      <c r="B6" s="6">
        <f>-PMT(F6/12, (OperatingAssumptions!$T16*12) - A5, E5)</f>
        <v>2695.3766653805278</v>
      </c>
      <c r="C6">
        <f>ROUND(E5*F6/12, 2)</f>
        <v>1750</v>
      </c>
      <c r="D6" s="6">
        <f>B6-C6</f>
        <v>945.37666538052781</v>
      </c>
      <c r="E6" s="6">
        <f>E5-D6</f>
        <v>399054.62333461945</v>
      </c>
      <c r="F6">
        <f>OperatingAssumptions!$T14</f>
        <v>5.2499999999999998E-2</v>
      </c>
    </row>
    <row r="7" spans="1:7" x14ac:dyDescent="0.25">
      <c r="A7">
        <v>2</v>
      </c>
      <c r="B7" s="6">
        <f>-PMT(F7/12, (OperatingAssumptions!$T16*12) - A6, E6)</f>
        <v>2695.3766653805274</v>
      </c>
      <c r="C7">
        <f>ROUND(E6*F7/12, 2)</f>
        <v>1745.86</v>
      </c>
      <c r="D7" s="6">
        <f>B7-C7</f>
        <v>949.51666538052746</v>
      </c>
      <c r="E7" s="6">
        <f>E6-D7</f>
        <v>398105.10666923894</v>
      </c>
      <c r="F7">
        <f>OperatingAssumptions!$T14</f>
        <v>5.2499999999999998E-2</v>
      </c>
    </row>
    <row r="8" spans="1:7" x14ac:dyDescent="0.25">
      <c r="A8">
        <v>3</v>
      </c>
      <c r="B8" s="6">
        <f>-PMT(F8/12, (OperatingAssumptions!$T16*12) - A7, E7)</f>
        <v>2695.376638453587</v>
      </c>
      <c r="C8">
        <f>ROUND(E7*F8/12, 2)</f>
        <v>1741.71</v>
      </c>
      <c r="D8" s="6">
        <f>B8-C8</f>
        <v>953.66663845358698</v>
      </c>
      <c r="E8" s="6">
        <f>E7-D8</f>
        <v>397151.44003078534</v>
      </c>
      <c r="F8">
        <f>OperatingAssumptions!$T14</f>
        <v>5.2499999999999998E-2</v>
      </c>
    </row>
    <row r="9" spans="1:7" x14ac:dyDescent="0.25">
      <c r="A9">
        <v>4</v>
      </c>
      <c r="B9" s="6">
        <f>-PMT(F9/12, (OperatingAssumptions!$T16*12) - A8, E8)</f>
        <v>2695.3766395280827</v>
      </c>
      <c r="C9">
        <f>ROUND(E8*F9/12, 2)</f>
        <v>1737.54</v>
      </c>
      <c r="D9" s="6">
        <f>B9-C9</f>
        <v>957.83663952808274</v>
      </c>
      <c r="E9" s="6">
        <f>E8-D9</f>
        <v>396193.60339125723</v>
      </c>
      <c r="F9">
        <f>OperatingAssumptions!$T14</f>
        <v>5.2499999999999998E-2</v>
      </c>
    </row>
    <row r="10" spans="1:7" x14ac:dyDescent="0.25">
      <c r="A10">
        <v>5</v>
      </c>
      <c r="B10" s="6">
        <f>-PMT(F10/12, (OperatingAssumptions!$T16*12) - A9, E9)</f>
        <v>2695.3766561949592</v>
      </c>
      <c r="C10">
        <f>ROUND(E9*F10/12, 2)</f>
        <v>1733.35</v>
      </c>
      <c r="D10" s="6">
        <f>B10-C10</f>
        <v>962.02665619495929</v>
      </c>
      <c r="E10" s="6">
        <f>E9-D10</f>
        <v>395231.57673506229</v>
      </c>
      <c r="F10">
        <f>OperatingAssumptions!$T14</f>
        <v>5.2499999999999998E-2</v>
      </c>
    </row>
    <row r="11" spans="1:7" x14ac:dyDescent="0.25">
      <c r="A11">
        <v>6</v>
      </c>
      <c r="B11" s="6">
        <f>-PMT(F11/12, (OperatingAssumptions!$T16*12) - A10, E10)</f>
        <v>2695.3766765529967</v>
      </c>
      <c r="C11">
        <f>ROUND(E10*F11/12, 2)</f>
        <v>1729.14</v>
      </c>
      <c r="D11" s="6">
        <f>B11-C11</f>
        <v>966.23667655299664</v>
      </c>
      <c r="E11" s="6">
        <f>E10-D11</f>
        <v>394265.34005850932</v>
      </c>
      <c r="F11">
        <f>OperatingAssumptions!$T14</f>
        <v>5.2499999999999998E-2</v>
      </c>
    </row>
    <row r="12" spans="1:7" x14ac:dyDescent="0.25">
      <c r="A12">
        <v>7</v>
      </c>
      <c r="B12" s="6">
        <f>-PMT(F12/12, (OperatingAssumptions!$T16*12) - A11, E11)</f>
        <v>2695.3766892126332</v>
      </c>
      <c r="C12">
        <f>ROUND(E11*F12/12, 2)</f>
        <v>1724.91</v>
      </c>
      <c r="D12" s="6">
        <f>B12-C12</f>
        <v>970.46668921263313</v>
      </c>
      <c r="E12" s="6">
        <f>E11-D12</f>
        <v>393294.87336929666</v>
      </c>
      <c r="F12">
        <f>OperatingAssumptions!$T14</f>
        <v>5.2499999999999998E-2</v>
      </c>
    </row>
    <row r="13" spans="1:7" x14ac:dyDescent="0.25">
      <c r="A13">
        <v>8</v>
      </c>
      <c r="B13" s="6">
        <f>-PMT(F13/12, (OperatingAssumptions!$T16*12) - A12, E12)</f>
        <v>2695.3766832998881</v>
      </c>
      <c r="C13">
        <f>ROUND(E12*F13/12, 2)</f>
        <v>1720.67</v>
      </c>
      <c r="D13" s="6">
        <f>B13-C13</f>
        <v>974.70668329988803</v>
      </c>
      <c r="E13" s="6">
        <f>E12-D13</f>
        <v>392320.16668599675</v>
      </c>
      <c r="F13">
        <f>OperatingAssumptions!$T14</f>
        <v>5.2499999999999998E-2</v>
      </c>
    </row>
    <row r="14" spans="1:7" x14ac:dyDescent="0.25">
      <c r="A14">
        <v>9</v>
      </c>
      <c r="B14" s="6">
        <f>-PMT(F14/12, (OperatingAssumptions!$T16*12) - A13, E13)</f>
        <v>2695.3767171639051</v>
      </c>
      <c r="C14">
        <f>ROUND(E13*F14/12, 2)</f>
        <v>1716.4</v>
      </c>
      <c r="D14" s="6">
        <f>B14-C14</f>
        <v>978.97671716390505</v>
      </c>
      <c r="E14" s="6">
        <f>E13-D14</f>
        <v>391341.18996883283</v>
      </c>
      <c r="F14">
        <f>OperatingAssumptions!$T14</f>
        <v>5.2499999999999998E-2</v>
      </c>
    </row>
    <row r="15" spans="1:7" x14ac:dyDescent="0.25">
      <c r="A15">
        <v>10</v>
      </c>
      <c r="B15" s="6">
        <f>-PMT(F15/12, (OperatingAssumptions!$T16*12) - A14, E14)</f>
        <v>2695.3767121411602</v>
      </c>
      <c r="C15">
        <f>ROUND(E14*F15/12, 2)</f>
        <v>1712.12</v>
      </c>
      <c r="D15" s="6">
        <f>B15-C15</f>
        <v>983.25671214116028</v>
      </c>
      <c r="E15" s="6">
        <f>E14-D15</f>
        <v>390357.93325669167</v>
      </c>
      <c r="F15">
        <f>OperatingAssumptions!$T14</f>
        <v>5.2499999999999998E-2</v>
      </c>
    </row>
    <row r="16" spans="1:7" x14ac:dyDescent="0.25">
      <c r="A16">
        <v>11</v>
      </c>
      <c r="B16" s="6">
        <f>-PMT(F16/12, (OperatingAssumptions!$T16*12) - A15, E15)</f>
        <v>2695.3767279801827</v>
      </c>
      <c r="C16">
        <f>ROUND(E15*F16/12, 2)</f>
        <v>1707.82</v>
      </c>
      <c r="D16" s="6">
        <f>B16-C16</f>
        <v>987.55672798018281</v>
      </c>
      <c r="E16" s="6">
        <f>E15-D16</f>
        <v>389370.37652871147</v>
      </c>
      <c r="F16">
        <f>OperatingAssumptions!$T14</f>
        <v>5.2499999999999998E-2</v>
      </c>
    </row>
    <row r="17" spans="1:6" x14ac:dyDescent="0.25">
      <c r="A17">
        <v>12</v>
      </c>
      <c r="B17" s="6">
        <f>-PMT(F17/12, (OperatingAssumptions!$T16*12) - A16, E16)</f>
        <v>2695.3767559605294</v>
      </c>
      <c r="C17">
        <f>ROUND(E16*F17/12, 2)</f>
        <v>1703.5</v>
      </c>
      <c r="D17" s="6">
        <f>B17-C17</f>
        <v>991.87675596052941</v>
      </c>
      <c r="E17" s="6">
        <f>E16-D17</f>
        <v>388378.49977275095</v>
      </c>
      <c r="F17">
        <f>OperatingAssumptions!$T14</f>
        <v>5.2499999999999998E-2</v>
      </c>
    </row>
    <row r="18" spans="1:6" x14ac:dyDescent="0.25">
      <c r="A18">
        <v>13</v>
      </c>
      <c r="B18" s="6">
        <f>-PMT(F18/12, (OperatingAssumptions!$T16*12) - A17, E17)</f>
        <v>2695.3767879035313</v>
      </c>
      <c r="C18">
        <f>ROUND(E17*F18/12, 2)</f>
        <v>1699.16</v>
      </c>
      <c r="D18" s="6">
        <f>B18-C18</f>
        <v>996.21678790353121</v>
      </c>
      <c r="E18" s="6">
        <f>E17-D18</f>
        <v>387382.28298484744</v>
      </c>
      <c r="F18">
        <f>OperatingAssumptions!$T14</f>
        <v>5.2499999999999998E-2</v>
      </c>
    </row>
    <row r="19" spans="1:6" x14ac:dyDescent="0.25">
      <c r="A19">
        <v>14</v>
      </c>
      <c r="B19" s="6">
        <f>-PMT(F19/12, (OperatingAssumptions!$T16*12) - A18, E18)</f>
        <v>2695.376816177019</v>
      </c>
      <c r="C19">
        <f>ROUND(E18*F19/12, 2)</f>
        <v>1694.8</v>
      </c>
      <c r="D19" s="6">
        <f>B19-C19</f>
        <v>1000.5768161770191</v>
      </c>
      <c r="E19" s="6">
        <f>E18-D19</f>
        <v>386381.70616867044</v>
      </c>
      <c r="F19">
        <f>OperatingAssumptions!$T14</f>
        <v>5.2499999999999998E-2</v>
      </c>
    </row>
    <row r="20" spans="1:6" x14ac:dyDescent="0.25">
      <c r="A20">
        <v>15</v>
      </c>
      <c r="B20" s="6">
        <f>-PMT(F20/12, (OperatingAssumptions!$T16*12) - A19, E19)</f>
        <v>2695.3768337001798</v>
      </c>
      <c r="C20">
        <f>ROUND(E19*F20/12, 2)</f>
        <v>1690.42</v>
      </c>
      <c r="D20" s="6">
        <f>B20-C20</f>
        <v>1004.9568337001797</v>
      </c>
      <c r="E20" s="6">
        <f>E19-D20</f>
        <v>385376.74933497026</v>
      </c>
      <c r="F20">
        <f>OperatingAssumptions!$T14</f>
        <v>5.2499999999999998E-2</v>
      </c>
    </row>
    <row r="21" spans="1:6" x14ac:dyDescent="0.25">
      <c r="A21">
        <v>16</v>
      </c>
      <c r="B21" s="6">
        <f>-PMT(F21/12, (OperatingAssumptions!$T16*12) - A20, E20)</f>
        <v>2695.3768339485555</v>
      </c>
      <c r="C21">
        <f>ROUND(E20*F21/12, 2)</f>
        <v>1686.02</v>
      </c>
      <c r="D21" s="6">
        <f>B21-C21</f>
        <v>1009.3568339485555</v>
      </c>
      <c r="E21" s="6">
        <f>E20-D21</f>
        <v>384367.39250102168</v>
      </c>
      <c r="F21">
        <f>OperatingAssumptions!$T14</f>
        <v>5.2499999999999998E-2</v>
      </c>
    </row>
    <row r="22" spans="1:6" x14ac:dyDescent="0.25">
      <c r="A22">
        <v>17</v>
      </c>
      <c r="B22" s="6">
        <f>-PMT(F22/12, (OperatingAssumptions!$T16*12) - A21, E21)</f>
        <v>2695.3768109591879</v>
      </c>
      <c r="C22">
        <f>ROUND(E21*F22/12, 2)</f>
        <v>1681.61</v>
      </c>
      <c r="D22" s="6">
        <f>B22-C22</f>
        <v>1013.766810959188</v>
      </c>
      <c r="E22" s="6">
        <f>E21-D22</f>
        <v>383353.62569006247</v>
      </c>
      <c r="F22">
        <f>OperatingAssumptions!$T14</f>
        <v>5.2499999999999998E-2</v>
      </c>
    </row>
    <row r="23" spans="1:6" x14ac:dyDescent="0.25">
      <c r="A23">
        <v>18</v>
      </c>
      <c r="B23" s="6">
        <f>-PMT(F23/12, (OperatingAssumptions!$T16*12) - A22, E22)</f>
        <v>2695.3768296463572</v>
      </c>
      <c r="C23">
        <f>ROUND(E22*F23/12, 2)</f>
        <v>1677.17</v>
      </c>
      <c r="D23" s="6">
        <f>B23-C23</f>
        <v>1018.2068296463572</v>
      </c>
      <c r="E23" s="6">
        <f>E22-D23</f>
        <v>382335.4188604161</v>
      </c>
      <c r="F23">
        <f>OperatingAssumptions!$T14</f>
        <v>5.2499999999999998E-2</v>
      </c>
    </row>
    <row r="24" spans="1:6" x14ac:dyDescent="0.25">
      <c r="A24">
        <v>19</v>
      </c>
      <c r="B24" s="6">
        <f>-PMT(F24/12, (OperatingAssumptions!$T16*12) - A23, E23)</f>
        <v>2695.3768147544652</v>
      </c>
      <c r="C24">
        <f>ROUND(E23*F24/12, 2)</f>
        <v>1672.72</v>
      </c>
      <c r="D24" s="6">
        <f>B24-C24</f>
        <v>1022.6568147544651</v>
      </c>
      <c r="E24" s="6">
        <f>E23-D24</f>
        <v>381312.76204566163</v>
      </c>
      <c r="F24">
        <f>OperatingAssumptions!$T14</f>
        <v>5.2499999999999998E-2</v>
      </c>
    </row>
    <row r="25" spans="1:6" x14ac:dyDescent="0.25">
      <c r="A25">
        <v>20</v>
      </c>
      <c r="B25" s="6">
        <f>-PMT(F25/12, (OperatingAssumptions!$T16*12) - A24, E24)</f>
        <v>2695.3768327264761</v>
      </c>
      <c r="C25">
        <f>ROUND(E24*F25/12, 2)</f>
        <v>1668.24</v>
      </c>
      <c r="D25" s="6">
        <f>B25-C25</f>
        <v>1027.1368327264761</v>
      </c>
      <c r="E25" s="6">
        <f>E24-D25</f>
        <v>380285.62521293515</v>
      </c>
      <c r="F25">
        <f>OperatingAssumptions!$T14</f>
        <v>5.2499999999999998E-2</v>
      </c>
    </row>
    <row r="26" spans="1:6" x14ac:dyDescent="0.25">
      <c r="A26">
        <v>21</v>
      </c>
      <c r="B26" s="6">
        <f>-PMT(F26/12, (OperatingAssumptions!$T16*12) - A25, E25)</f>
        <v>2695.3768090962085</v>
      </c>
      <c r="C26">
        <f>ROUND(E25*F26/12, 2)</f>
        <v>1663.75</v>
      </c>
      <c r="D26" s="6">
        <f>B26-C26</f>
        <v>1031.6268090962085</v>
      </c>
      <c r="E26" s="6">
        <f>E25-D26</f>
        <v>379253.99840383895</v>
      </c>
      <c r="F26">
        <f>OperatingAssumptions!$T14</f>
        <v>5.2499999999999998E-2</v>
      </c>
    </row>
    <row r="27" spans="1:6" x14ac:dyDescent="0.25">
      <c r="A27">
        <v>22</v>
      </c>
      <c r="B27" s="6">
        <f>-PMT(F27/12, (OperatingAssumptions!$T16*12) - A26, E26)</f>
        <v>2695.3768118657795</v>
      </c>
      <c r="C27">
        <f>ROUND(E26*F27/12, 2)</f>
        <v>1659.24</v>
      </c>
      <c r="D27" s="6">
        <f>B27-C27</f>
        <v>1036.1368118657795</v>
      </c>
      <c r="E27" s="6">
        <f>E26-D27</f>
        <v>378217.86159197317</v>
      </c>
      <c r="F27">
        <f>OperatingAssumptions!$T14</f>
        <v>5.2499999999999998E-2</v>
      </c>
    </row>
    <row r="28" spans="1:6" x14ac:dyDescent="0.25">
      <c r="A28">
        <v>23</v>
      </c>
      <c r="B28" s="6">
        <f>-PMT(F28/12, (OperatingAssumptions!$T16*12) - A27, E27)</f>
        <v>2695.376838639992</v>
      </c>
      <c r="C28">
        <f>ROUND(E27*F28/12, 2)</f>
        <v>1654.7</v>
      </c>
      <c r="D28" s="6">
        <f>B28-C28</f>
        <v>1040.676838639992</v>
      </c>
      <c r="E28" s="6">
        <f>E27-D28</f>
        <v>377177.18475333316</v>
      </c>
      <c r="F28">
        <f>OperatingAssumptions!$T14</f>
        <v>5.2499999999999998E-2</v>
      </c>
    </row>
    <row r="29" spans="1:6" x14ac:dyDescent="0.25">
      <c r="A29">
        <v>24</v>
      </c>
      <c r="B29" s="6">
        <f>-PMT(F29/12, (OperatingAssumptions!$T16*12) - A28, E28)</f>
        <v>2695.3768161690728</v>
      </c>
      <c r="C29">
        <f>ROUND(E28*F29/12, 2)</f>
        <v>1650.15</v>
      </c>
      <c r="D29" s="6">
        <f>B29-C29</f>
        <v>1045.2268161690727</v>
      </c>
      <c r="E29" s="6">
        <f>E28-D29</f>
        <v>376131.95793716412</v>
      </c>
      <c r="F29">
        <f>OperatingAssumptions!$T14</f>
        <v>5.2499999999999998E-2</v>
      </c>
    </row>
    <row r="30" spans="1:6" x14ac:dyDescent="0.25">
      <c r="A30">
        <v>25</v>
      </c>
      <c r="B30" s="6">
        <f>-PMT(F30/12, (OperatingAssumptions!$T16*12) - A29, E29)</f>
        <v>2695.3768148555687</v>
      </c>
      <c r="C30">
        <f>ROUND(E29*F30/12, 2)</f>
        <v>1645.58</v>
      </c>
      <c r="D30" s="6">
        <f>B30-C30</f>
        <v>1049.7968148555688</v>
      </c>
      <c r="E30" s="6">
        <f>E29-D30</f>
        <v>375082.16112230852</v>
      </c>
      <c r="F30">
        <f>OperatingAssumptions!$T14</f>
        <v>5.2499999999999998E-2</v>
      </c>
    </row>
    <row r="31" spans="1:6" x14ac:dyDescent="0.25">
      <c r="A31">
        <v>26</v>
      </c>
      <c r="B31" s="6">
        <f>-PMT(F31/12, (OperatingAssumptions!$T16*12) - A30, E30)</f>
        <v>2695.3768341432315</v>
      </c>
      <c r="C31">
        <f>ROUND(E30*F31/12, 2)</f>
        <v>1640.98</v>
      </c>
      <c r="D31" s="6">
        <f>B31-C31</f>
        <v>1054.3968341432314</v>
      </c>
      <c r="E31" s="6">
        <f>E30-D31</f>
        <v>374027.76428816532</v>
      </c>
      <c r="F31">
        <f>OperatingAssumptions!$T14</f>
        <v>5.2499999999999998E-2</v>
      </c>
    </row>
    <row r="32" spans="1:6" x14ac:dyDescent="0.25">
      <c r="A32">
        <v>27</v>
      </c>
      <c r="B32" s="6">
        <f>-PMT(F32/12, (OperatingAssumptions!$T16*12) - A31, E31)</f>
        <v>2695.3768020395687</v>
      </c>
      <c r="C32">
        <f>ROUND(E31*F32/12, 2)</f>
        <v>1636.37</v>
      </c>
      <c r="D32" s="6">
        <f>B32-C32</f>
        <v>1059.0068020395688</v>
      </c>
      <c r="E32" s="6">
        <f>E31-D32</f>
        <v>372968.75748612575</v>
      </c>
      <c r="F32">
        <f>OperatingAssumptions!$T14</f>
        <v>5.2499999999999998E-2</v>
      </c>
    </row>
    <row r="33" spans="1:6" x14ac:dyDescent="0.25">
      <c r="A33">
        <v>28</v>
      </c>
      <c r="B33" s="6">
        <f>-PMT(F33/12, (OperatingAssumptions!$T16*12) - A32, E32)</f>
        <v>2695.3767914251048</v>
      </c>
      <c r="C33">
        <f>ROUND(E32*F33/12, 2)</f>
        <v>1631.74</v>
      </c>
      <c r="D33" s="6">
        <f>B33-C33</f>
        <v>1063.6367914251048</v>
      </c>
      <c r="E33" s="6">
        <f>E32-D33</f>
        <v>371905.12069470063</v>
      </c>
      <c r="F33">
        <f>OperatingAssumptions!$T14</f>
        <v>5.2499999999999998E-2</v>
      </c>
    </row>
    <row r="34" spans="1:6" x14ac:dyDescent="0.25">
      <c r="A34">
        <v>29</v>
      </c>
      <c r="B34" s="6">
        <f>-PMT(F34/12, (OperatingAssumptions!$T16*12) - A33, E33)</f>
        <v>2695.3768036443512</v>
      </c>
      <c r="C34">
        <f>ROUND(E33*F34/12, 2)</f>
        <v>1627.08</v>
      </c>
      <c r="D34" s="6">
        <f>B34-C34</f>
        <v>1068.2968036443513</v>
      </c>
      <c r="E34" s="6">
        <f>E33-D34</f>
        <v>370836.82389105629</v>
      </c>
      <c r="F34">
        <f>OperatingAssumptions!$T14</f>
        <v>5.2499999999999998E-2</v>
      </c>
    </row>
    <row r="35" spans="1:6" x14ac:dyDescent="0.25">
      <c r="A35">
        <v>30</v>
      </c>
      <c r="B35" s="6">
        <f>-PMT(F35/12, (OperatingAssumptions!$T16*12) - A34, E34)</f>
        <v>2695.3767680072801</v>
      </c>
      <c r="C35">
        <f>ROUND(E34*F35/12, 2)</f>
        <v>1622.41</v>
      </c>
      <c r="D35" s="6">
        <f>B35-C35</f>
        <v>1072.9667680072801</v>
      </c>
      <c r="E35" s="6">
        <f>E34-D35</f>
        <v>369763.85712304903</v>
      </c>
      <c r="F35">
        <f>OperatingAssumptions!$T14</f>
        <v>5.2499999999999998E-2</v>
      </c>
    </row>
    <row r="36" spans="1:6" x14ac:dyDescent="0.25">
      <c r="A36">
        <v>31</v>
      </c>
      <c r="B36" s="6">
        <f>-PMT(F36/12, (OperatingAssumptions!$T16*12) - A35, E35)</f>
        <v>2695.3767599559078</v>
      </c>
      <c r="C36">
        <f>ROUND(E35*F36/12, 2)</f>
        <v>1617.72</v>
      </c>
      <c r="D36" s="6">
        <f>B36-C36</f>
        <v>1077.6567599559078</v>
      </c>
      <c r="E36" s="6">
        <f>E35-D36</f>
        <v>368686.20036309311</v>
      </c>
      <c r="F36">
        <f>OperatingAssumptions!$T14</f>
        <v>5.2499999999999998E-2</v>
      </c>
    </row>
    <row r="37" spans="1:6" x14ac:dyDescent="0.25">
      <c r="A37">
        <v>32</v>
      </c>
      <c r="B37" s="6">
        <f>-PMT(F37/12, (OperatingAssumptions!$T16*12) - A36, E36)</f>
        <v>2695.3767828026698</v>
      </c>
      <c r="C37">
        <f>ROUND(E36*F37/12, 2)</f>
        <v>1613</v>
      </c>
      <c r="D37" s="6">
        <f>B37-C37</f>
        <v>1082.3767828026698</v>
      </c>
      <c r="E37" s="6">
        <f>E36-D37</f>
        <v>367603.82358029042</v>
      </c>
      <c r="F37">
        <f>OperatingAssumptions!$T14</f>
        <v>5.2499999999999998E-2</v>
      </c>
    </row>
    <row r="38" spans="1:6" x14ac:dyDescent="0.25">
      <c r="A38">
        <v>33</v>
      </c>
      <c r="B38" s="6">
        <f>-PMT(F38/12, (OperatingAssumptions!$T16*12) - A37, E37)</f>
        <v>2695.3767672099125</v>
      </c>
      <c r="C38">
        <f>ROUND(E37*F38/12, 2)</f>
        <v>1608.27</v>
      </c>
      <c r="D38" s="6">
        <f>B38-C38</f>
        <v>1087.1067672099125</v>
      </c>
      <c r="E38" s="6">
        <f>E37-D38</f>
        <v>366516.71681308054</v>
      </c>
      <c r="F38">
        <f>OperatingAssumptions!$T14</f>
        <v>5.2499999999999998E-2</v>
      </c>
    </row>
    <row r="39" spans="1:6" x14ac:dyDescent="0.25">
      <c r="A39">
        <v>34</v>
      </c>
      <c r="B39" s="6">
        <f>-PMT(F39/12, (OperatingAssumptions!$T16*12) - A38, E38)</f>
        <v>2695.3767912711114</v>
      </c>
      <c r="C39">
        <f>ROUND(E38*F39/12, 2)</f>
        <v>1603.51</v>
      </c>
      <c r="D39" s="6">
        <f>B39-C39</f>
        <v>1091.8667912711114</v>
      </c>
      <c r="E39" s="6">
        <f>E38-D39</f>
        <v>365424.8500218094</v>
      </c>
      <c r="F39">
        <f>OperatingAssumptions!$T14</f>
        <v>5.2499999999999998E-2</v>
      </c>
    </row>
    <row r="40" spans="1:6" x14ac:dyDescent="0.25">
      <c r="A40">
        <v>35</v>
      </c>
      <c r="B40" s="6">
        <f>-PMT(F40/12, (OperatingAssumptions!$T16*12) - A39, E39)</f>
        <v>2695.3767865795467</v>
      </c>
      <c r="C40">
        <f>ROUND(E39*F40/12, 2)</f>
        <v>1598.73</v>
      </c>
      <c r="D40" s="6">
        <f>B40-C40</f>
        <v>1096.6467865795466</v>
      </c>
      <c r="E40" s="6">
        <f>E39-D40</f>
        <v>364328.20323522983</v>
      </c>
      <c r="F40">
        <f>OperatingAssumptions!$T14</f>
        <v>5.2499999999999998E-2</v>
      </c>
    </row>
    <row r="41" spans="1:6" x14ac:dyDescent="0.25">
      <c r="A41">
        <v>36</v>
      </c>
      <c r="B41" s="6">
        <f>-PMT(F41/12, (OperatingAssumptions!$T16*12) - A40, E40)</f>
        <v>2695.3767590667458</v>
      </c>
      <c r="C41">
        <f>ROUND(E40*F41/12, 2)</f>
        <v>1593.94</v>
      </c>
      <c r="D41" s="6">
        <f>B41-C41</f>
        <v>1101.4367590667457</v>
      </c>
      <c r="E41" s="6">
        <f>E40-D41</f>
        <v>363226.76647616306</v>
      </c>
      <c r="F41">
        <f>OperatingAssumptions!$T14</f>
        <v>5.2499999999999998E-2</v>
      </c>
    </row>
    <row r="42" spans="1:6" x14ac:dyDescent="0.25">
      <c r="A42">
        <v>37</v>
      </c>
      <c r="B42" s="6">
        <f>-PMT(F42/12, (OperatingAssumptions!$T16*12) - A41, E41)</f>
        <v>2695.3767895718715</v>
      </c>
      <c r="C42">
        <f>ROUND(E41*F42/12, 2)</f>
        <v>1589.12</v>
      </c>
      <c r="D42" s="6">
        <f>B42-C42</f>
        <v>1106.2567895718716</v>
      </c>
      <c r="E42" s="6">
        <f>E41-D42</f>
        <v>362120.50968659116</v>
      </c>
      <c r="F42">
        <f>OperatingAssumptions!$T14</f>
        <v>5.2499999999999998E-2</v>
      </c>
    </row>
    <row r="43" spans="1:6" x14ac:dyDescent="0.25">
      <c r="A43">
        <v>38</v>
      </c>
      <c r="B43" s="6">
        <f>-PMT(F43/12, (OperatingAssumptions!$T16*12) - A42, E42)</f>
        <v>2695.3768111326731</v>
      </c>
      <c r="C43">
        <f>ROUND(E42*F43/12, 2)</f>
        <v>1584.28</v>
      </c>
      <c r="D43" s="6">
        <f>B43-C43</f>
        <v>1111.0968111326731</v>
      </c>
      <c r="E43" s="6">
        <f>E42-D43</f>
        <v>361009.41287545848</v>
      </c>
      <c r="F43">
        <f>OperatingAssumptions!$T14</f>
        <v>5.2499999999999998E-2</v>
      </c>
    </row>
    <row r="44" spans="1:6" x14ac:dyDescent="0.25">
      <c r="A44">
        <v>39</v>
      </c>
      <c r="B44" s="6">
        <f>-PMT(F44/12, (OperatingAssumptions!$T16*12) - A43, E43)</f>
        <v>2695.3768318150155</v>
      </c>
      <c r="C44">
        <f>ROUND(E43*F44/12, 2)</f>
        <v>1579.42</v>
      </c>
      <c r="D44" s="6">
        <f>B44-C44</f>
        <v>1115.9568318150154</v>
      </c>
      <c r="E44" s="6">
        <f>E43-D44</f>
        <v>359893.45604364347</v>
      </c>
      <c r="F44">
        <f>OperatingAssumptions!$T14</f>
        <v>5.2499999999999998E-2</v>
      </c>
    </row>
    <row r="45" spans="1:6" x14ac:dyDescent="0.25">
      <c r="A45">
        <v>40</v>
      </c>
      <c r="B45" s="6">
        <f>-PMT(F45/12, (OperatingAssumptions!$T16*12) - A44, E44)</f>
        <v>2695.3768604144652</v>
      </c>
      <c r="C45">
        <f>ROUND(E44*F45/12, 2)</f>
        <v>1574.53</v>
      </c>
      <c r="D45" s="6">
        <f>B45-C45</f>
        <v>1120.8468604144653</v>
      </c>
      <c r="E45" s="6">
        <f>E44-D45</f>
        <v>358772.60918322898</v>
      </c>
      <c r="F45">
        <f>OperatingAssumptions!$T14</f>
        <v>5.2499999999999998E-2</v>
      </c>
    </row>
    <row r="46" spans="1:6" x14ac:dyDescent="0.25">
      <c r="A46">
        <v>41</v>
      </c>
      <c r="B46" s="6">
        <f>-PMT(F46/12, (OperatingAssumptions!$T16*12) - A45, E45)</f>
        <v>2695.3768313386026</v>
      </c>
      <c r="C46">
        <f>ROUND(E45*F46/12, 2)</f>
        <v>1569.63</v>
      </c>
      <c r="D46" s="6">
        <f>B46-C46</f>
        <v>1125.7468313386025</v>
      </c>
      <c r="E46" s="6">
        <f>E45-D46</f>
        <v>357646.86235189036</v>
      </c>
      <c r="F46">
        <f>OperatingAssumptions!$T14</f>
        <v>5.2499999999999998E-2</v>
      </c>
    </row>
    <row r="47" spans="1:6" x14ac:dyDescent="0.25">
      <c r="A47">
        <v>42</v>
      </c>
      <c r="B47" s="6">
        <f>-PMT(F47/12, (OperatingAssumptions!$T16*12) - A46, E46)</f>
        <v>2695.3768300937609</v>
      </c>
      <c r="C47">
        <f>ROUND(E46*F47/12, 2)</f>
        <v>1564.71</v>
      </c>
      <c r="D47" s="6">
        <f>B47-C47</f>
        <v>1130.6668300937608</v>
      </c>
      <c r="E47" s="6">
        <f>E46-D47</f>
        <v>356516.19552179659</v>
      </c>
      <c r="F47">
        <f>OperatingAssumptions!$T14</f>
        <v>5.2499999999999998E-2</v>
      </c>
    </row>
    <row r="48" spans="1:6" x14ac:dyDescent="0.25">
      <c r="A48">
        <v>43</v>
      </c>
      <c r="B48" s="6">
        <f>-PMT(F48/12, (OperatingAssumptions!$T16*12) - A47, E47)</f>
        <v>2695.376867723071</v>
      </c>
      <c r="C48">
        <f>ROUND(E47*F48/12, 2)</f>
        <v>1559.76</v>
      </c>
      <c r="D48" s="6">
        <f>B48-C48</f>
        <v>1135.616867723071</v>
      </c>
      <c r="E48" s="6">
        <f>E47-D48</f>
        <v>355380.57865407353</v>
      </c>
      <c r="F48">
        <f>OperatingAssumptions!$T14</f>
        <v>5.2499999999999998E-2</v>
      </c>
    </row>
    <row r="49" spans="1:6" x14ac:dyDescent="0.25">
      <c r="A49">
        <v>44</v>
      </c>
      <c r="B49" s="6">
        <f>-PMT(F49/12, (OperatingAssumptions!$T16*12) - A48, E48)</f>
        <v>2695.3768801964461</v>
      </c>
      <c r="C49">
        <f>ROUND(E48*F49/12, 2)</f>
        <v>1554.79</v>
      </c>
      <c r="D49" s="6">
        <f>B49-C49</f>
        <v>1140.5868801964461</v>
      </c>
      <c r="E49" s="6">
        <f>E48-D49</f>
        <v>354239.99177387706</v>
      </c>
      <c r="F49">
        <f>OperatingAssumptions!$T14</f>
        <v>5.2499999999999998E-2</v>
      </c>
    </row>
    <row r="50" spans="1:6" x14ac:dyDescent="0.25">
      <c r="A50">
        <v>45</v>
      </c>
      <c r="B50" s="6">
        <f>-PMT(F50/12, (OperatingAssumptions!$T16*12) - A49, E49)</f>
        <v>2695.376879955917</v>
      </c>
      <c r="C50">
        <f>ROUND(E49*F50/12, 2)</f>
        <v>1549.8</v>
      </c>
      <c r="D50" s="6">
        <f>B50-C50</f>
        <v>1145.5768799559171</v>
      </c>
      <c r="E50" s="6">
        <f>E49-D50</f>
        <v>353094.41489392112</v>
      </c>
      <c r="F50">
        <f>OperatingAssumptions!$T14</f>
        <v>5.2499999999999998E-2</v>
      </c>
    </row>
    <row r="51" spans="1:6" x14ac:dyDescent="0.25">
      <c r="A51">
        <v>46</v>
      </c>
      <c r="B51" s="6">
        <f>-PMT(F51/12, (OperatingAssumptions!$T16*12) - A50, E50)</f>
        <v>2695.3768802306445</v>
      </c>
      <c r="C51">
        <f>ROUND(E50*F51/12, 2)</f>
        <v>1544.79</v>
      </c>
      <c r="D51" s="6">
        <f>B51-C51</f>
        <v>1150.5868802306445</v>
      </c>
      <c r="E51" s="6">
        <f>E50-D51</f>
        <v>351943.82801369048</v>
      </c>
      <c r="F51">
        <f>OperatingAssumptions!$T14</f>
        <v>5.2499999999999998E-2</v>
      </c>
    </row>
    <row r="52" spans="1:6" x14ac:dyDescent="0.25">
      <c r="A52">
        <v>47</v>
      </c>
      <c r="B52" s="6">
        <f>-PMT(F52/12, (OperatingAssumptions!$T16*12) - A51, E51)</f>
        <v>2695.3768950486924</v>
      </c>
      <c r="C52">
        <f>ROUND(E51*F52/12, 2)</f>
        <v>1539.75</v>
      </c>
      <c r="D52" s="6">
        <f>B52-C52</f>
        <v>1155.6268950486924</v>
      </c>
      <c r="E52" s="6">
        <f>E51-D52</f>
        <v>350788.20111864177</v>
      </c>
      <c r="F52">
        <f>OperatingAssumptions!$T14</f>
        <v>5.2499999999999998E-2</v>
      </c>
    </row>
    <row r="53" spans="1:6" x14ac:dyDescent="0.25">
      <c r="A53">
        <v>48</v>
      </c>
      <c r="B53" s="6">
        <f>-PMT(F53/12, (OperatingAssumptions!$T16*12) - A52, E52)</f>
        <v>2695.3768624114068</v>
      </c>
      <c r="C53">
        <f>ROUND(E52*F53/12, 2)</f>
        <v>1534.7</v>
      </c>
      <c r="D53" s="6">
        <f>B53-C53</f>
        <v>1160.6768624114068</v>
      </c>
      <c r="E53" s="6">
        <f>E52-D53</f>
        <v>349627.52425623033</v>
      </c>
      <c r="F53">
        <f>OperatingAssumptions!$T14</f>
        <v>5.2499999999999998E-2</v>
      </c>
    </row>
    <row r="54" spans="1:6" x14ac:dyDescent="0.25">
      <c r="A54">
        <v>49</v>
      </c>
      <c r="B54" s="6">
        <f>-PMT(F54/12, (OperatingAssumptions!$T16*12) - A53, E53)</f>
        <v>2695.3768749012588</v>
      </c>
      <c r="C54">
        <f>ROUND(E53*F54/12, 2)</f>
        <v>1529.62</v>
      </c>
      <c r="D54" s="6">
        <f>B54-C54</f>
        <v>1165.7568749012589</v>
      </c>
      <c r="E54" s="6">
        <f>E53-D54</f>
        <v>348461.76738132909</v>
      </c>
      <c r="F54">
        <f>OperatingAssumptions!$T14</f>
        <v>5.2499999999999998E-2</v>
      </c>
    </row>
    <row r="55" spans="1:6" x14ac:dyDescent="0.25">
      <c r="A55">
        <v>50</v>
      </c>
      <c r="B55" s="6">
        <f>-PMT(F55/12, (OperatingAssumptions!$T16*12) - A54, E54)</f>
        <v>2695.3768716631957</v>
      </c>
      <c r="C55">
        <f>ROUND(E54*F55/12, 2)</f>
        <v>1524.52</v>
      </c>
      <c r="D55" s="6">
        <f>B55-C55</f>
        <v>1170.8568716631958</v>
      </c>
      <c r="E55" s="6">
        <f>E54-D55</f>
        <v>347290.9105096659</v>
      </c>
      <c r="F55">
        <f>OperatingAssumptions!$T14</f>
        <v>5.2499999999999998E-2</v>
      </c>
    </row>
    <row r="56" spans="1:6" x14ac:dyDescent="0.25">
      <c r="A56">
        <v>51</v>
      </c>
      <c r="B56" s="6">
        <f>-PMT(F56/12, (OperatingAssumptions!$T16*12) - A55, E55)</f>
        <v>2695.3768698603321</v>
      </c>
      <c r="C56">
        <f>ROUND(E55*F56/12, 2)</f>
        <v>1519.4</v>
      </c>
      <c r="D56" s="6">
        <f>B56-C56</f>
        <v>1175.976869860332</v>
      </c>
      <c r="E56" s="6">
        <f>E55-D56</f>
        <v>346114.93363980559</v>
      </c>
      <c r="F56">
        <f>OperatingAssumptions!$T14</f>
        <v>5.2499999999999998E-2</v>
      </c>
    </row>
    <row r="57" spans="1:6" x14ac:dyDescent="0.25">
      <c r="A57">
        <v>52</v>
      </c>
      <c r="B57" s="6">
        <f>-PMT(F57/12, (OperatingAssumptions!$T16*12) - A56, E56)</f>
        <v>2695.3768875109035</v>
      </c>
      <c r="C57">
        <f>ROUND(E56*F57/12, 2)</f>
        <v>1514.25</v>
      </c>
      <c r="D57" s="6">
        <f>B57-C57</f>
        <v>1181.1268875109035</v>
      </c>
      <c r="E57" s="6">
        <f>E56-D57</f>
        <v>344933.80675229471</v>
      </c>
      <c r="F57">
        <f>OperatingAssumptions!$T14</f>
        <v>5.2499999999999998E-2</v>
      </c>
    </row>
    <row r="58" spans="1:6" x14ac:dyDescent="0.25">
      <c r="A58">
        <v>53</v>
      </c>
      <c r="B58" s="6">
        <f>-PMT(F58/12, (OperatingAssumptions!$T16*12) - A57, E57)</f>
        <v>2695.3768653602333</v>
      </c>
      <c r="C58">
        <f>ROUND(E57*F58/12, 2)</f>
        <v>1509.09</v>
      </c>
      <c r="D58" s="6">
        <f>B58-C58</f>
        <v>1186.2868653602334</v>
      </c>
      <c r="E58" s="6">
        <f>E57-D58</f>
        <v>343747.51988693449</v>
      </c>
      <c r="F58">
        <f>OperatingAssumptions!$T14</f>
        <v>5.2499999999999998E-2</v>
      </c>
    </row>
    <row r="59" spans="1:6" x14ac:dyDescent="0.25">
      <c r="A59">
        <v>54</v>
      </c>
      <c r="B59" s="6">
        <f>-PMT(F59/12, (OperatingAssumptions!$T16*12) - A58, E58)</f>
        <v>2695.3769013939282</v>
      </c>
      <c r="C59">
        <f>ROUND(E58*F59/12, 2)</f>
        <v>1503.9</v>
      </c>
      <c r="D59" s="6">
        <f>B59-C59</f>
        <v>1191.4769013939281</v>
      </c>
      <c r="E59" s="6">
        <f>E58-D59</f>
        <v>342556.04298554058</v>
      </c>
      <c r="F59">
        <f>OperatingAssumptions!$T14</f>
        <v>5.2499999999999998E-2</v>
      </c>
    </row>
    <row r="60" spans="1:6" x14ac:dyDescent="0.25">
      <c r="A60">
        <v>55</v>
      </c>
      <c r="B60" s="6">
        <f>-PMT(F60/12, (OperatingAssumptions!$T16*12) - A59, E59)</f>
        <v>2695.3769375925808</v>
      </c>
      <c r="C60">
        <f>ROUND(E59*F60/12, 2)</f>
        <v>1498.68</v>
      </c>
      <c r="D60" s="6">
        <f>B60-C60</f>
        <v>1196.6969375925808</v>
      </c>
      <c r="E60" s="6">
        <f>E59-D60</f>
        <v>341359.346047948</v>
      </c>
      <c r="F60">
        <f>OperatingAssumptions!$T14</f>
        <v>5.2499999999999998E-2</v>
      </c>
    </row>
    <row r="61" spans="1:6" x14ac:dyDescent="0.25">
      <c r="A61">
        <v>56</v>
      </c>
      <c r="B61" s="6">
        <f>-PMT(F61/12, (OperatingAssumptions!$T16*12) - A60, E60)</f>
        <v>2695.3769163676175</v>
      </c>
      <c r="C61">
        <f>ROUND(E60*F61/12, 2)</f>
        <v>1493.45</v>
      </c>
      <c r="D61" s="6">
        <f>B61-C61</f>
        <v>1201.9269163676174</v>
      </c>
      <c r="E61" s="6">
        <f>E60-D61</f>
        <v>340157.41913158039</v>
      </c>
      <c r="F61">
        <f>OperatingAssumptions!$T14</f>
        <v>5.2499999999999998E-2</v>
      </c>
    </row>
    <row r="62" spans="1:6" x14ac:dyDescent="0.25">
      <c r="A62">
        <v>57</v>
      </c>
      <c r="B62" s="6">
        <f>-PMT(F62/12, (OperatingAssumptions!$T16*12) - A61, E61)</f>
        <v>2695.3769390382445</v>
      </c>
      <c r="C62">
        <f>ROUND(E61*F62/12, 2)</f>
        <v>1488.19</v>
      </c>
      <c r="D62" s="6">
        <f>B62-C62</f>
        <v>1207.1869390382444</v>
      </c>
      <c r="E62" s="6">
        <f>E61-D62</f>
        <v>338950.23219254217</v>
      </c>
      <c r="F62">
        <f>OperatingAssumptions!$T14</f>
        <v>5.2499999999999998E-2</v>
      </c>
    </row>
    <row r="63" spans="1:6" x14ac:dyDescent="0.25">
      <c r="A63">
        <v>58</v>
      </c>
      <c r="B63" s="6">
        <f>-PMT(F63/12, (OperatingAssumptions!$T16*12) - A62, E62)</f>
        <v>2695.3769493068276</v>
      </c>
      <c r="C63">
        <f>ROUND(E62*F63/12, 2)</f>
        <v>1482.91</v>
      </c>
      <c r="D63" s="6">
        <f>B63-C63</f>
        <v>1212.4669493068275</v>
      </c>
      <c r="E63" s="6">
        <f>E62-D63</f>
        <v>337737.76524323534</v>
      </c>
      <c r="F63">
        <f>OperatingAssumptions!$T14</f>
        <v>5.2499999999999998E-2</v>
      </c>
    </row>
    <row r="64" spans="1:6" x14ac:dyDescent="0.25">
      <c r="A64">
        <v>59</v>
      </c>
      <c r="B64" s="6">
        <f>-PMT(F64/12, (OperatingAssumptions!$T16*12) - A63, E63)</f>
        <v>2695.3769711272639</v>
      </c>
      <c r="C64">
        <f>ROUND(E63*F64/12, 2)</f>
        <v>1477.6</v>
      </c>
      <c r="D64" s="6">
        <f>B64-C64</f>
        <v>1217.776971127264</v>
      </c>
      <c r="E64" s="6">
        <f>E63-D64</f>
        <v>336519.98827210808</v>
      </c>
      <c r="F64">
        <f>OperatingAssumptions!$T14</f>
        <v>5.2499999999999998E-2</v>
      </c>
    </row>
    <row r="65" spans="1:6" x14ac:dyDescent="0.25">
      <c r="A65">
        <v>60</v>
      </c>
      <c r="B65" s="6">
        <f>-PMT(F65/12, (OperatingAssumptions!$T16*12) - A64, E64)</f>
        <v>2695.3769493177197</v>
      </c>
      <c r="C65">
        <f>ROUND(E64*F65/12, 2)</f>
        <v>1472.27</v>
      </c>
      <c r="D65" s="6">
        <f>B65-C65</f>
        <v>1223.1069493177197</v>
      </c>
      <c r="E65" s="6">
        <f>E64-D65</f>
        <v>335296.88132279034</v>
      </c>
      <c r="F65">
        <f>OperatingAssumptions!$T14</f>
        <v>5.2499999999999998E-2</v>
      </c>
    </row>
    <row r="66" spans="1:6" x14ac:dyDescent="0.25">
      <c r="A66">
        <v>61</v>
      </c>
      <c r="B66" s="6">
        <f>-PMT(F66/12, (OperatingAssumptions!$T16*12) - A65, E65)</f>
        <v>2695.3769095363004</v>
      </c>
      <c r="C66">
        <f>ROUND(E65*F66/12, 2)</f>
        <v>1466.92</v>
      </c>
      <c r="D66" s="6">
        <f>B66-C66</f>
        <v>1228.4569095363004</v>
      </c>
      <c r="E66" s="6">
        <f>E65-D66</f>
        <v>334068.42441325402</v>
      </c>
      <c r="F66">
        <f>OperatingAssumptions!$T14</f>
        <v>5.2499999999999998E-2</v>
      </c>
    </row>
    <row r="67" spans="1:6" x14ac:dyDescent="0.25">
      <c r="A67">
        <v>62</v>
      </c>
      <c r="B67" s="6">
        <f>-PMT(F67/12, (OperatingAssumptions!$T16*12) - A66, E66)</f>
        <v>2695.3768784265062</v>
      </c>
      <c r="C67">
        <f>ROUND(E66*F67/12, 2)</f>
        <v>1461.55</v>
      </c>
      <c r="D67" s="6">
        <f>B67-C67</f>
        <v>1233.8268784265063</v>
      </c>
      <c r="E67" s="6">
        <f>E66-D67</f>
        <v>332834.59753482754</v>
      </c>
      <c r="F67">
        <f>OperatingAssumptions!$T14</f>
        <v>5.2499999999999998E-2</v>
      </c>
    </row>
    <row r="68" spans="1:6" x14ac:dyDescent="0.25">
      <c r="A68">
        <v>63</v>
      </c>
      <c r="B68" s="6">
        <f>-PMT(F68/12, (OperatingAssumptions!$T16*12) - A67, E67)</f>
        <v>2695.3768836352347</v>
      </c>
      <c r="C68">
        <f>ROUND(E67*F68/12, 2)</f>
        <v>1456.15</v>
      </c>
      <c r="D68" s="6">
        <f>B68-C68</f>
        <v>1239.2268836352346</v>
      </c>
      <c r="E68" s="6">
        <f>E67-D68</f>
        <v>331595.37065119232</v>
      </c>
      <c r="F68">
        <f>OperatingAssumptions!$T14</f>
        <v>5.2499999999999998E-2</v>
      </c>
    </row>
    <row r="69" spans="1:6" x14ac:dyDescent="0.25">
      <c r="A69">
        <v>64</v>
      </c>
      <c r="B69" s="6">
        <f>-PMT(F69/12, (OperatingAssumptions!$T16*12) - A68, E68)</f>
        <v>2695.3768725461982</v>
      </c>
      <c r="C69">
        <f>ROUND(E68*F69/12, 2)</f>
        <v>1450.73</v>
      </c>
      <c r="D69" s="6">
        <f>B69-C69</f>
        <v>1244.6468725461982</v>
      </c>
      <c r="E69" s="6">
        <f>E68-D69</f>
        <v>330350.72377864615</v>
      </c>
      <c r="F69">
        <f>OperatingAssumptions!$T14</f>
        <v>5.2499999999999998E-2</v>
      </c>
    </row>
    <row r="70" spans="1:6" x14ac:dyDescent="0.25">
      <c r="A70">
        <v>65</v>
      </c>
      <c r="B70" s="6">
        <f>-PMT(F70/12, (OperatingAssumptions!$T16*12) - A69, E69)</f>
        <v>2695.3768746137316</v>
      </c>
      <c r="C70">
        <f>ROUND(E69*F70/12, 2)</f>
        <v>1445.28</v>
      </c>
      <c r="D70" s="6">
        <f>B70-C70</f>
        <v>1250.0968746137316</v>
      </c>
      <c r="E70" s="6">
        <f>E69-D70</f>
        <v>329100.62690403243</v>
      </c>
      <c r="F70">
        <f>OperatingAssumptions!$T14</f>
        <v>5.2499999999999998E-2</v>
      </c>
    </row>
    <row r="71" spans="1:6" x14ac:dyDescent="0.25">
      <c r="A71">
        <v>66</v>
      </c>
      <c r="B71" s="6">
        <f>-PMT(F71/12, (OperatingAssumptions!$T16*12) - A70, E70)</f>
        <v>2695.3768384417654</v>
      </c>
      <c r="C71">
        <f>ROUND(E70*F71/12, 2)</f>
        <v>1439.82</v>
      </c>
      <c r="D71" s="6">
        <f>B71-C71</f>
        <v>1255.5568384417654</v>
      </c>
      <c r="E71" s="6">
        <f>E70-D71</f>
        <v>327845.07006559067</v>
      </c>
      <c r="F71">
        <f>OperatingAssumptions!$T14</f>
        <v>5.2499999999999998E-2</v>
      </c>
    </row>
    <row r="72" spans="1:6" x14ac:dyDescent="0.25">
      <c r="A72">
        <v>67</v>
      </c>
      <c r="B72" s="6">
        <f>-PMT(F72/12, (OperatingAssumptions!$T16*12) - A71, E71)</f>
        <v>2695.3768775538451</v>
      </c>
      <c r="C72">
        <f>ROUND(E71*F72/12, 2)</f>
        <v>1434.32</v>
      </c>
      <c r="D72" s="6">
        <f>B72-C72</f>
        <v>1261.0568775538452</v>
      </c>
      <c r="E72" s="6">
        <f>E71-D72</f>
        <v>326584.0131880368</v>
      </c>
      <c r="F72">
        <f>OperatingAssumptions!$T14</f>
        <v>5.2499999999999998E-2</v>
      </c>
    </row>
    <row r="73" spans="1:6" x14ac:dyDescent="0.25">
      <c r="A73">
        <v>68</v>
      </c>
      <c r="B73" s="6">
        <f>-PMT(F73/12, (OperatingAssumptions!$T16*12) - A72, E72)</f>
        <v>2695.3768595490933</v>
      </c>
      <c r="C73">
        <f>ROUND(E72*F73/12, 2)</f>
        <v>1428.81</v>
      </c>
      <c r="D73" s="6">
        <f>B73-C73</f>
        <v>1266.5668595490934</v>
      </c>
      <c r="E73" s="6">
        <f>E72-D73</f>
        <v>325317.44632848771</v>
      </c>
      <c r="F73">
        <f>OperatingAssumptions!$T14</f>
        <v>5.2499999999999998E-2</v>
      </c>
    </row>
    <row r="74" spans="1:6" x14ac:dyDescent="0.25">
      <c r="A74">
        <v>69</v>
      </c>
      <c r="B74" s="6">
        <f>-PMT(F74/12, (OperatingAssumptions!$T16*12) - A73, E73)</f>
        <v>2695.376900497919</v>
      </c>
      <c r="C74">
        <f>ROUND(E73*F74/12, 2)</f>
        <v>1423.26</v>
      </c>
      <c r="D74" s="6">
        <f>B74-C74</f>
        <v>1272.116900497919</v>
      </c>
      <c r="E74" s="6">
        <f>E73-D74</f>
        <v>324045.32942798978</v>
      </c>
      <c r="F74">
        <f>OperatingAssumptions!$T14</f>
        <v>5.2499999999999998E-2</v>
      </c>
    </row>
    <row r="75" spans="1:6" x14ac:dyDescent="0.25">
      <c r="A75">
        <v>70</v>
      </c>
      <c r="B75" s="6">
        <f>-PMT(F75/12, (OperatingAssumptions!$T16*12) - A74, E74)</f>
        <v>2695.3768686595977</v>
      </c>
      <c r="C75">
        <f>ROUND(E74*F75/12, 2)</f>
        <v>1417.7</v>
      </c>
      <c r="D75" s="6">
        <f>B75-C75</f>
        <v>1277.6768686595976</v>
      </c>
      <c r="E75" s="6">
        <f>E74-D75</f>
        <v>322767.65255933016</v>
      </c>
      <c r="F75">
        <f>OperatingAssumptions!$T14</f>
        <v>5.2499999999999998E-2</v>
      </c>
    </row>
    <row r="76" spans="1:6" x14ac:dyDescent="0.25">
      <c r="A76">
        <v>71</v>
      </c>
      <c r="B76" s="6">
        <f>-PMT(F76/12, (OperatingAssumptions!$T16*12) - A75, E75)</f>
        <v>2695.3768827203235</v>
      </c>
      <c r="C76">
        <f>ROUND(E75*F76/12, 2)</f>
        <v>1412.11</v>
      </c>
      <c r="D76" s="6">
        <f>B76-C76</f>
        <v>1283.2668827203236</v>
      </c>
      <c r="E76" s="6">
        <f>E75-D76</f>
        <v>321484.38567660982</v>
      </c>
      <c r="F76">
        <f>OperatingAssumptions!$T14</f>
        <v>5.2499999999999998E-2</v>
      </c>
    </row>
    <row r="77" spans="1:6" x14ac:dyDescent="0.25">
      <c r="A77">
        <v>72</v>
      </c>
      <c r="B77" s="6">
        <f>-PMT(F77/12, (OperatingAssumptions!$T16*12) - A76, E76)</f>
        <v>2695.3768954646926</v>
      </c>
      <c r="C77">
        <f>ROUND(E76*F77/12, 2)</f>
        <v>1406.49</v>
      </c>
      <c r="D77" s="6">
        <f>B77-C77</f>
        <v>1288.8868954646925</v>
      </c>
      <c r="E77" s="6">
        <f>E76-D77</f>
        <v>320195.49878114514</v>
      </c>
      <c r="F77">
        <f>OperatingAssumptions!$T14</f>
        <v>5.2499999999999998E-2</v>
      </c>
    </row>
    <row r="78" spans="1:6" x14ac:dyDescent="0.25">
      <c r="A78">
        <v>73</v>
      </c>
      <c r="B78" s="6">
        <f>-PMT(F78/12, (OperatingAssumptions!$T16*12) - A77, E77)</f>
        <v>2695.3768602160826</v>
      </c>
      <c r="C78">
        <f>ROUND(E77*F78/12, 2)</f>
        <v>1400.86</v>
      </c>
      <c r="D78" s="6">
        <f>B78-C78</f>
        <v>1294.5168602160827</v>
      </c>
      <c r="E78" s="6">
        <f>E77-D78</f>
        <v>318900.98192092904</v>
      </c>
      <c r="F78">
        <f>OperatingAssumptions!$T14</f>
        <v>5.2499999999999998E-2</v>
      </c>
    </row>
    <row r="79" spans="1:6" x14ac:dyDescent="0.25">
      <c r="A79">
        <v>74</v>
      </c>
      <c r="B79" s="6">
        <f>-PMT(F79/12, (OperatingAssumptions!$T16*12) - A78, E78)</f>
        <v>2695.3768998802825</v>
      </c>
      <c r="C79">
        <f>ROUND(E78*F79/12, 2)</f>
        <v>1395.19</v>
      </c>
      <c r="D79" s="6">
        <f>B79-C79</f>
        <v>1300.1868998802825</v>
      </c>
      <c r="E79" s="6">
        <f>E78-D79</f>
        <v>317600.79502104875</v>
      </c>
      <c r="F79">
        <f>OperatingAssumptions!$T14</f>
        <v>5.2499999999999998E-2</v>
      </c>
    </row>
    <row r="80" spans="1:6" x14ac:dyDescent="0.25">
      <c r="A80">
        <v>75</v>
      </c>
      <c r="B80" s="6">
        <f>-PMT(F80/12, (OperatingAssumptions!$T16*12) - A79, E79)</f>
        <v>2695.3768846390162</v>
      </c>
      <c r="C80">
        <f>ROUND(E79*F80/12, 2)</f>
        <v>1389.5</v>
      </c>
      <c r="D80" s="6">
        <f>B80-C80</f>
        <v>1305.8768846390162</v>
      </c>
      <c r="E80" s="6">
        <f>E79-D80</f>
        <v>316294.91813640972</v>
      </c>
      <c r="F80">
        <f>OperatingAssumptions!$T14</f>
        <v>5.2499999999999998E-2</v>
      </c>
    </row>
    <row r="81" spans="1:6" x14ac:dyDescent="0.25">
      <c r="A81">
        <v>76</v>
      </c>
      <c r="B81" s="6">
        <f>-PMT(F81/12, (OperatingAssumptions!$T16*12) - A80, E80)</f>
        <v>2695.3768549986221</v>
      </c>
      <c r="C81">
        <f>ROUND(E80*F81/12, 2)</f>
        <v>1383.79</v>
      </c>
      <c r="D81" s="6">
        <f>B81-C81</f>
        <v>1311.5868549986221</v>
      </c>
      <c r="E81" s="6">
        <f>E80-D81</f>
        <v>314983.33128141111</v>
      </c>
      <c r="F81">
        <f>OperatingAssumptions!$T14</f>
        <v>5.2499999999999998E-2</v>
      </c>
    </row>
    <row r="82" spans="1:6" x14ac:dyDescent="0.25">
      <c r="A82">
        <v>77</v>
      </c>
      <c r="B82" s="6">
        <f>-PMT(F82/12, (OperatingAssumptions!$T16*12) - A81, E81)</f>
        <v>2695.3768527151592</v>
      </c>
      <c r="C82">
        <f>ROUND(E81*F82/12, 2)</f>
        <v>1378.05</v>
      </c>
      <c r="D82" s="6">
        <f>B82-C82</f>
        <v>1317.3268527151592</v>
      </c>
      <c r="E82" s="6">
        <f>E81-D82</f>
        <v>313666.00442869595</v>
      </c>
      <c r="F82">
        <f>OperatingAssumptions!$T14</f>
        <v>5.2499999999999998E-2</v>
      </c>
    </row>
    <row r="83" spans="1:6" x14ac:dyDescent="0.25">
      <c r="A83">
        <v>78</v>
      </c>
      <c r="B83" s="6">
        <f>-PMT(F83/12, (OperatingAssumptions!$T16*12) - A82, E82)</f>
        <v>2695.3768348899198</v>
      </c>
      <c r="C83">
        <f>ROUND(E82*F83/12, 2)</f>
        <v>1372.29</v>
      </c>
      <c r="D83" s="6">
        <f>B83-C83</f>
        <v>1323.0868348899198</v>
      </c>
      <c r="E83" s="6">
        <f>E82-D83</f>
        <v>312342.91759380605</v>
      </c>
      <c r="F83">
        <f>OperatingAssumptions!$T14</f>
        <v>5.2499999999999998E-2</v>
      </c>
    </row>
    <row r="84" spans="1:6" x14ac:dyDescent="0.25">
      <c r="A84">
        <v>79</v>
      </c>
      <c r="B84" s="6">
        <f>-PMT(F84/12, (OperatingAssumptions!$T16*12) - A83, E83)</f>
        <v>2695.3768455096479</v>
      </c>
      <c r="C84">
        <f>ROUND(E83*F84/12, 2)</f>
        <v>1366.5</v>
      </c>
      <c r="D84" s="6">
        <f>B84-C84</f>
        <v>1328.8768455096479</v>
      </c>
      <c r="E84" s="6">
        <f>E83-D84</f>
        <v>311014.04074829642</v>
      </c>
      <c r="F84">
        <f>OperatingAssumptions!$T14</f>
        <v>5.2499999999999998E-2</v>
      </c>
    </row>
    <row r="85" spans="1:6" x14ac:dyDescent="0.25">
      <c r="A85">
        <v>80</v>
      </c>
      <c r="B85" s="6">
        <f>-PMT(F85/12, (OperatingAssumptions!$T16*12) - A84, E84)</f>
        <v>2695.3768432176162</v>
      </c>
      <c r="C85">
        <f>ROUND(E84*F85/12, 2)</f>
        <v>1360.69</v>
      </c>
      <c r="D85" s="6">
        <f>B85-C85</f>
        <v>1334.6868432176161</v>
      </c>
      <c r="E85" s="6">
        <f>E84-D85</f>
        <v>309679.35390507878</v>
      </c>
      <c r="F85">
        <f>OperatingAssumptions!$T14</f>
        <v>5.2499999999999998E-2</v>
      </c>
    </row>
    <row r="86" spans="1:6" x14ac:dyDescent="0.25">
      <c r="A86">
        <v>81</v>
      </c>
      <c r="B86" s="6">
        <f>-PMT(F86/12, (OperatingAssumptions!$T16*12) - A85, E85)</f>
        <v>2695.3768743050882</v>
      </c>
      <c r="C86">
        <f>ROUND(E85*F86/12, 2)</f>
        <v>1354.85</v>
      </c>
      <c r="D86" s="6">
        <f>B86-C86</f>
        <v>1340.5268743050883</v>
      </c>
      <c r="E86" s="6">
        <f>E85-D86</f>
        <v>308338.82703077368</v>
      </c>
      <c r="F86">
        <f>OperatingAssumptions!$T14</f>
        <v>5.2499999999999998E-2</v>
      </c>
    </row>
    <row r="87" spans="1:6" x14ac:dyDescent="0.25">
      <c r="A87">
        <v>82</v>
      </c>
      <c r="B87" s="6">
        <f>-PMT(F87/12, (OperatingAssumptions!$T16*12) - A86, E86)</f>
        <v>2695.3768990146855</v>
      </c>
      <c r="C87">
        <f>ROUND(E86*F87/12, 2)</f>
        <v>1348.98</v>
      </c>
      <c r="D87" s="6">
        <f>B87-C87</f>
        <v>1346.3968990146855</v>
      </c>
      <c r="E87" s="6">
        <f>E86-D87</f>
        <v>306992.43013175897</v>
      </c>
      <c r="F87">
        <f>OperatingAssumptions!$T14</f>
        <v>5.2499999999999998E-2</v>
      </c>
    </row>
    <row r="88" spans="1:6" x14ac:dyDescent="0.25">
      <c r="A88">
        <v>83</v>
      </c>
      <c r="B88" s="6">
        <f>-PMT(F88/12, (OperatingAssumptions!$T16*12) - A87, E87)</f>
        <v>2695.3768782214934</v>
      </c>
      <c r="C88">
        <f>ROUND(E87*F88/12, 2)</f>
        <v>1343.09</v>
      </c>
      <c r="D88" s="6">
        <f>B88-C88</f>
        <v>1352.2868782214935</v>
      </c>
      <c r="E88" s="6">
        <f>E87-D88</f>
        <v>305640.14325353748</v>
      </c>
      <c r="F88">
        <f>OperatingAssumptions!$T14</f>
        <v>5.2499999999999998E-2</v>
      </c>
    </row>
    <row r="89" spans="1:6" x14ac:dyDescent="0.25">
      <c r="A89">
        <v>84</v>
      </c>
      <c r="B89" s="6">
        <f>-PMT(F89/12, (OperatingAssumptions!$T16*12) - A88, E88)</f>
        <v>2695.3768616260577</v>
      </c>
      <c r="C89">
        <f>ROUND(E88*F89/12, 2)</f>
        <v>1337.18</v>
      </c>
      <c r="D89" s="6">
        <f>B89-C89</f>
        <v>1358.1968616260576</v>
      </c>
      <c r="E89" s="6">
        <f>E88-D89</f>
        <v>304281.94639191142</v>
      </c>
      <c r="F89">
        <f>OperatingAssumptions!$T14</f>
        <v>5.2499999999999998E-2</v>
      </c>
    </row>
    <row r="90" spans="1:6" x14ac:dyDescent="0.25">
      <c r="A90">
        <v>85</v>
      </c>
      <c r="B90" s="6">
        <f>-PMT(F90/12, (OperatingAssumptions!$T16*12) - A89, E89)</f>
        <v>2695.3769003651273</v>
      </c>
      <c r="C90">
        <f>ROUND(E89*F90/12, 2)</f>
        <v>1331.23</v>
      </c>
      <c r="D90" s="6">
        <f>B90-C90</f>
        <v>1364.1469003651273</v>
      </c>
      <c r="E90" s="6">
        <f>E89-D90</f>
        <v>302917.79949154629</v>
      </c>
      <c r="F90">
        <f>OperatingAssumptions!$T14</f>
        <v>5.2499999999999998E-2</v>
      </c>
    </row>
    <row r="91" spans="1:6" x14ac:dyDescent="0.25">
      <c r="A91">
        <v>86</v>
      </c>
      <c r="B91" s="6">
        <f>-PMT(F91/12, (OperatingAssumptions!$T16*12) - A90, E90)</f>
        <v>2695.3768690843576</v>
      </c>
      <c r="C91">
        <f>ROUND(E90*F91/12, 2)</f>
        <v>1325.27</v>
      </c>
      <c r="D91" s="6">
        <f>B91-C91</f>
        <v>1370.1068690843576</v>
      </c>
      <c r="E91" s="6">
        <f>E90-D91</f>
        <v>301547.69262246194</v>
      </c>
      <c r="F91">
        <f>OperatingAssumptions!$T14</f>
        <v>5.2499999999999998E-2</v>
      </c>
    </row>
    <row r="92" spans="1:6" x14ac:dyDescent="0.25">
      <c r="A92">
        <v>87</v>
      </c>
      <c r="B92" s="6">
        <f>-PMT(F92/12, (OperatingAssumptions!$T16*12) - A91, E91)</f>
        <v>2695.3769104446942</v>
      </c>
      <c r="C92">
        <f>ROUND(E91*F92/12, 2)</f>
        <v>1319.27</v>
      </c>
      <c r="D92" s="6">
        <f>B92-C92</f>
        <v>1376.1069104446942</v>
      </c>
      <c r="E92" s="6">
        <f>E91-D92</f>
        <v>300171.58571201726</v>
      </c>
      <c r="F92">
        <f>OperatingAssumptions!$T14</f>
        <v>5.2499999999999998E-2</v>
      </c>
    </row>
    <row r="93" spans="1:6" x14ac:dyDescent="0.25">
      <c r="A93">
        <v>88</v>
      </c>
      <c r="B93" s="6">
        <f>-PMT(F93/12, (OperatingAssumptions!$T16*12) - A92, E92)</f>
        <v>2695.3769000714206</v>
      </c>
      <c r="C93">
        <f>ROUND(E92*F93/12, 2)</f>
        <v>1313.25</v>
      </c>
      <c r="D93" s="6">
        <f>B93-C93</f>
        <v>1382.1269000714206</v>
      </c>
      <c r="E93" s="6">
        <f>E92-D93</f>
        <v>298789.45881194586</v>
      </c>
      <c r="F93">
        <f>OperatingAssumptions!$T14</f>
        <v>5.2499999999999998E-2</v>
      </c>
    </row>
    <row r="94" spans="1:6" x14ac:dyDescent="0.25">
      <c r="A94">
        <v>89</v>
      </c>
      <c r="B94" s="6">
        <f>-PMT(F94/12, (OperatingAssumptions!$T16*12) - A93, E93)</f>
        <v>2695.3768938695789</v>
      </c>
      <c r="C94">
        <f>ROUND(E93*F94/12, 2)</f>
        <v>1307.2</v>
      </c>
      <c r="D94" s="6">
        <f>B94-C94</f>
        <v>1388.1768938695789</v>
      </c>
      <c r="E94" s="6">
        <f>E93-D94</f>
        <v>297401.28191807627</v>
      </c>
      <c r="F94">
        <f>OperatingAssumptions!$T14</f>
        <v>5.2499999999999998E-2</v>
      </c>
    </row>
    <row r="95" spans="1:6" x14ac:dyDescent="0.25">
      <c r="A95">
        <v>90</v>
      </c>
      <c r="B95" s="6">
        <f>-PMT(F95/12, (OperatingAssumptions!$T16*12) - A94, E94)</f>
        <v>2695.3768586838942</v>
      </c>
      <c r="C95">
        <f>ROUND(E94*F95/12, 2)</f>
        <v>1301.1300000000001</v>
      </c>
      <c r="D95" s="6">
        <f>B95-C95</f>
        <v>1394.2468586838941</v>
      </c>
      <c r="E95" s="6">
        <f>E94-D95</f>
        <v>296007.03505939239</v>
      </c>
      <c r="F95">
        <f>OperatingAssumptions!$T14</f>
        <v>5.2499999999999998E-2</v>
      </c>
    </row>
    <row r="96" spans="1:6" x14ac:dyDescent="0.25">
      <c r="A96">
        <v>91</v>
      </c>
      <c r="B96" s="6">
        <f>-PMT(F96/12, (OperatingAssumptions!$T16*12) - A95, E95)</f>
        <v>2695.3768531440105</v>
      </c>
      <c r="C96">
        <f>ROUND(E95*F96/12, 2)</f>
        <v>1295.03</v>
      </c>
      <c r="D96" s="6">
        <f>B96-C96</f>
        <v>1400.3468531440105</v>
      </c>
      <c r="E96" s="6">
        <f>E95-D96</f>
        <v>294606.68820624839</v>
      </c>
      <c r="F96">
        <f>OperatingAssumptions!$T14</f>
        <v>5.2499999999999998E-2</v>
      </c>
    </row>
    <row r="97" spans="1:6" x14ac:dyDescent="0.25">
      <c r="A97">
        <v>92</v>
      </c>
      <c r="B97" s="6">
        <f>-PMT(F97/12, (OperatingAssumptions!$T16*12) - A96, E96)</f>
        <v>2695.3768460225133</v>
      </c>
      <c r="C97">
        <f>ROUND(E96*F97/12, 2)</f>
        <v>1288.9000000000001</v>
      </c>
      <c r="D97" s="6">
        <f>B97-C97</f>
        <v>1406.4768460225132</v>
      </c>
      <c r="E97" s="6">
        <f>E96-D97</f>
        <v>293200.21136022586</v>
      </c>
      <c r="F97">
        <f>OperatingAssumptions!$T14</f>
        <v>5.2499999999999998E-2</v>
      </c>
    </row>
    <row r="98" spans="1:6" x14ac:dyDescent="0.25">
      <c r="A98">
        <v>93</v>
      </c>
      <c r="B98" s="6">
        <f>-PMT(F98/12, (OperatingAssumptions!$T16*12) - A97, E97)</f>
        <v>2695.376806852224</v>
      </c>
      <c r="C98">
        <f>ROUND(E97*F98/12, 2)</f>
        <v>1282.75</v>
      </c>
      <c r="D98" s="6">
        <f>B98-C98</f>
        <v>1412.626806852224</v>
      </c>
      <c r="E98" s="6">
        <f>E97-D98</f>
        <v>291787.58455337363</v>
      </c>
      <c r="F98">
        <f>OperatingAssumptions!$T14</f>
        <v>5.2499999999999998E-2</v>
      </c>
    </row>
    <row r="99" spans="1:6" x14ac:dyDescent="0.25">
      <c r="A99">
        <v>94</v>
      </c>
      <c r="B99" s="6">
        <f>-PMT(F99/12, (OperatingAssumptions!$T16*12) - A98, E98)</f>
        <v>2695.3767983103335</v>
      </c>
      <c r="C99">
        <f>ROUND(E98*F99/12, 2)</f>
        <v>1276.57</v>
      </c>
      <c r="D99" s="6">
        <f>B99-C99</f>
        <v>1418.8067983103335</v>
      </c>
      <c r="E99" s="6">
        <f>E98-D99</f>
        <v>290368.77775506332</v>
      </c>
      <c r="F99">
        <f>OperatingAssumptions!$T14</f>
        <v>5.2499999999999998E-2</v>
      </c>
    </row>
    <row r="100" spans="1:6" x14ac:dyDescent="0.25">
      <c r="A100">
        <v>95</v>
      </c>
      <c r="B100" s="6">
        <f>-PMT(F100/12, (OperatingAssumptions!$T16*12) - A99, E99)</f>
        <v>2695.3767919756933</v>
      </c>
      <c r="C100">
        <f>ROUND(E99*F100/12, 2)</f>
        <v>1270.3599999999999</v>
      </c>
      <c r="D100" s="6">
        <f>B100-C100</f>
        <v>1425.0167919756934</v>
      </c>
      <c r="E100" s="6">
        <f>E99-D100</f>
        <v>288943.76096308761</v>
      </c>
      <c r="F100">
        <f>OperatingAssumptions!$T14</f>
        <v>5.2499999999999998E-2</v>
      </c>
    </row>
    <row r="101" spans="1:6" x14ac:dyDescent="0.25">
      <c r="A101">
        <v>96</v>
      </c>
      <c r="B101" s="6">
        <f>-PMT(F101/12, (OperatingAssumptions!$T16*12) - A100, E100)</f>
        <v>2695.3767602342209</v>
      </c>
      <c r="C101">
        <f>ROUND(E100*F101/12, 2)</f>
        <v>1264.1300000000001</v>
      </c>
      <c r="D101" s="6">
        <f>B101-C101</f>
        <v>1431.2467602342208</v>
      </c>
      <c r="E101" s="6">
        <f>E100-D101</f>
        <v>287512.51420285337</v>
      </c>
      <c r="F101">
        <f>OperatingAssumptions!$T14</f>
        <v>5.2499999999999998E-2</v>
      </c>
    </row>
    <row r="102" spans="1:6" x14ac:dyDescent="0.25">
      <c r="A102">
        <v>97</v>
      </c>
      <c r="B102" s="6">
        <f>-PMT(F102/12, (OperatingAssumptions!$T16*12) - A101, E101)</f>
        <v>2695.3767700382768</v>
      </c>
      <c r="C102">
        <f>ROUND(E101*F102/12, 2)</f>
        <v>1257.8699999999999</v>
      </c>
      <c r="D102" s="6">
        <f>B102-C102</f>
        <v>1437.506770038277</v>
      </c>
      <c r="E102" s="6">
        <f>E101-D102</f>
        <v>286075.00743281509</v>
      </c>
      <c r="F102">
        <f>OperatingAssumptions!$T14</f>
        <v>5.2499999999999998E-2</v>
      </c>
    </row>
    <row r="103" spans="1:6" x14ac:dyDescent="0.25">
      <c r="A103">
        <v>98</v>
      </c>
      <c r="B103" s="6">
        <f>-PMT(F103/12, (OperatingAssumptions!$T16*12) - A102, E102)</f>
        <v>2695.3767959519819</v>
      </c>
      <c r="C103">
        <f>ROUND(E102*F103/12, 2)</f>
        <v>1251.58</v>
      </c>
      <c r="D103" s="6">
        <f>B103-C103</f>
        <v>1443.7967959519819</v>
      </c>
      <c r="E103" s="6">
        <f>E102-D103</f>
        <v>284631.21063686314</v>
      </c>
      <c r="F103">
        <f>OperatingAssumptions!$T14</f>
        <v>5.2499999999999998E-2</v>
      </c>
    </row>
    <row r="104" spans="1:6" x14ac:dyDescent="0.25">
      <c r="A104">
        <v>99</v>
      </c>
      <c r="B104" s="6">
        <f>-PMT(F104/12, (OperatingAssumptions!$T16*12) - A103, E103)</f>
        <v>2695.3768133997578</v>
      </c>
      <c r="C104">
        <f>ROUND(E103*F104/12, 2)</f>
        <v>1245.26</v>
      </c>
      <c r="D104" s="6">
        <f>B104-C104</f>
        <v>1450.1168133997578</v>
      </c>
      <c r="E104" s="6">
        <f>E103-D104</f>
        <v>283181.09382346336</v>
      </c>
      <c r="F104">
        <f>OperatingAssumptions!$T14</f>
        <v>5.2499999999999998E-2</v>
      </c>
    </row>
    <row r="105" spans="1:6" x14ac:dyDescent="0.25">
      <c r="A105">
        <v>100</v>
      </c>
      <c r="B105" s="6">
        <f>-PMT(F105/12, (OperatingAssumptions!$T16*12) - A104, E104)</f>
        <v>2695.3767986795024</v>
      </c>
      <c r="C105">
        <f>ROUND(E104*F105/12, 2)</f>
        <v>1238.92</v>
      </c>
      <c r="D105" s="6">
        <f>B105-C105</f>
        <v>1456.4567986795023</v>
      </c>
      <c r="E105" s="6">
        <f>E104-D105</f>
        <v>281724.63702478388</v>
      </c>
      <c r="F105">
        <f>OperatingAssumptions!$T14</f>
        <v>5.2499999999999998E-2</v>
      </c>
    </row>
    <row r="106" spans="1:6" x14ac:dyDescent="0.25">
      <c r="A106">
        <v>101</v>
      </c>
      <c r="B106" s="6">
        <f>-PMT(F106/12, (OperatingAssumptions!$T16*12) - A105, E105)</f>
        <v>2695.3768246504678</v>
      </c>
      <c r="C106">
        <f>ROUND(E105*F106/12, 2)</f>
        <v>1232.55</v>
      </c>
      <c r="D106" s="6">
        <f>B106-C106</f>
        <v>1462.8268246504679</v>
      </c>
      <c r="E106" s="6">
        <f>E105-D106</f>
        <v>280261.81020013342</v>
      </c>
      <c r="F106">
        <f>OperatingAssumptions!$T14</f>
        <v>5.2499999999999998E-2</v>
      </c>
    </row>
    <row r="107" spans="1:6" x14ac:dyDescent="0.25">
      <c r="A107">
        <v>102</v>
      </c>
      <c r="B107" s="6">
        <f>-PMT(F107/12, (OperatingAssumptions!$T16*12) - A106, E106)</f>
        <v>2695.376869977214</v>
      </c>
      <c r="C107">
        <f>ROUND(E106*F107/12, 2)</f>
        <v>1226.1500000000001</v>
      </c>
      <c r="D107" s="6">
        <f>B107-C107</f>
        <v>1469.2268699772139</v>
      </c>
      <c r="E107" s="6">
        <f>E106-D107</f>
        <v>278792.58333015622</v>
      </c>
      <c r="F107">
        <f>OperatingAssumptions!$T14</f>
        <v>5.2499999999999998E-2</v>
      </c>
    </row>
    <row r="108" spans="1:6" x14ac:dyDescent="0.25">
      <c r="A108">
        <v>103</v>
      </c>
      <c r="B108" s="6">
        <f>-PMT(F108/12, (OperatingAssumptions!$T16*12) - A107, E107)</f>
        <v>2695.3769142604415</v>
      </c>
      <c r="C108">
        <f>ROUND(E107*F108/12, 2)</f>
        <v>1219.72</v>
      </c>
      <c r="D108" s="6">
        <f>B108-C108</f>
        <v>1475.6569142604415</v>
      </c>
      <c r="E108" s="6">
        <f>E107-D108</f>
        <v>277316.92641589581</v>
      </c>
      <c r="F108">
        <f>OperatingAssumptions!$T14</f>
        <v>5.2499999999999998E-2</v>
      </c>
    </row>
    <row r="109" spans="1:6" x14ac:dyDescent="0.25">
      <c r="A109">
        <v>104</v>
      </c>
      <c r="B109" s="6">
        <f>-PMT(F109/12, (OperatingAssumptions!$T16*12) - A108, E108)</f>
        <v>2695.3769380530598</v>
      </c>
      <c r="C109">
        <f>ROUND(E108*F109/12, 2)</f>
        <v>1213.26</v>
      </c>
      <c r="D109" s="6">
        <f>B109-C109</f>
        <v>1482.1169380530598</v>
      </c>
      <c r="E109" s="6">
        <f>E108-D109</f>
        <v>275834.80947784276</v>
      </c>
      <c r="F109">
        <f>OperatingAssumptions!$T14</f>
        <v>5.2499999999999998E-2</v>
      </c>
    </row>
    <row r="110" spans="1:6" x14ac:dyDescent="0.25">
      <c r="A110">
        <v>105</v>
      </c>
      <c r="B110" s="6">
        <f>-PMT(F110/12, (OperatingAssumptions!$T16*12) - A109, E109)</f>
        <v>2695.3769228769193</v>
      </c>
      <c r="C110">
        <f>ROUND(E109*F110/12, 2)</f>
        <v>1206.78</v>
      </c>
      <c r="D110" s="6">
        <f>B110-C110</f>
        <v>1488.5969228769193</v>
      </c>
      <c r="E110" s="6">
        <f>E109-D110</f>
        <v>274346.21255496587</v>
      </c>
      <c r="F110">
        <f>OperatingAssumptions!$T14</f>
        <v>5.2499999999999998E-2</v>
      </c>
    </row>
    <row r="111" spans="1:6" x14ac:dyDescent="0.25">
      <c r="A111">
        <v>106</v>
      </c>
      <c r="B111" s="6">
        <f>-PMT(F111/12, (OperatingAssumptions!$T16*12) - A110, E110)</f>
        <v>2695.3769494875337</v>
      </c>
      <c r="C111">
        <f>ROUND(E110*F111/12, 2)</f>
        <v>1200.26</v>
      </c>
      <c r="D111" s="6">
        <f>B111-C111</f>
        <v>1495.1169494875337</v>
      </c>
      <c r="E111" s="6">
        <f>E110-D111</f>
        <v>272851.09560547833</v>
      </c>
      <c r="F111">
        <f>OperatingAssumptions!$T14</f>
        <v>5.2499999999999998E-2</v>
      </c>
    </row>
    <row r="112" spans="1:6" x14ac:dyDescent="0.25">
      <c r="A112">
        <v>107</v>
      </c>
      <c r="B112" s="6">
        <f>-PMT(F112/12, (OperatingAssumptions!$T16*12) - A111, E111)</f>
        <v>2695.3769032565674</v>
      </c>
      <c r="C112">
        <f>ROUND(E111*F112/12, 2)</f>
        <v>1193.72</v>
      </c>
      <c r="D112" s="6">
        <f>B112-C112</f>
        <v>1501.6569032565674</v>
      </c>
      <c r="E112" s="6">
        <f>E111-D112</f>
        <v>271349.43870222179</v>
      </c>
      <c r="F112">
        <f>OperatingAssumptions!$T14</f>
        <v>5.2499999999999998E-2</v>
      </c>
    </row>
    <row r="113" spans="1:6" x14ac:dyDescent="0.25">
      <c r="A113">
        <v>108</v>
      </c>
      <c r="B113" s="6">
        <f>-PMT(F113/12, (OperatingAssumptions!$T16*12) - A112, E112)</f>
        <v>2695.3768680604062</v>
      </c>
      <c r="C113">
        <f>ROUND(E112*F113/12, 2)</f>
        <v>1187.1500000000001</v>
      </c>
      <c r="D113" s="6">
        <f>B113-C113</f>
        <v>1508.2268680604061</v>
      </c>
      <c r="E113" s="6">
        <f>E112-D113</f>
        <v>269841.21183416137</v>
      </c>
      <c r="F113">
        <f>OperatingAssumptions!$T14</f>
        <v>5.2499999999999998E-2</v>
      </c>
    </row>
    <row r="114" spans="1:6" x14ac:dyDescent="0.25">
      <c r="A114">
        <v>109</v>
      </c>
      <c r="B114" s="6">
        <f>-PMT(F114/12, (OperatingAssumptions!$T16*12) - A113, E113)</f>
        <v>2695.3768301598648</v>
      </c>
      <c r="C114">
        <f>ROUND(E113*F114/12, 2)</f>
        <v>1180.56</v>
      </c>
      <c r="D114" s="6">
        <f>B114-C114</f>
        <v>1514.8168301598648</v>
      </c>
      <c r="E114" s="6">
        <f>E113-D114</f>
        <v>268326.3950040015</v>
      </c>
      <c r="F114">
        <f>OperatingAssumptions!$T14</f>
        <v>5.2499999999999998E-2</v>
      </c>
    </row>
    <row r="115" spans="1:6" x14ac:dyDescent="0.25">
      <c r="A115">
        <v>110</v>
      </c>
      <c r="B115" s="6">
        <f>-PMT(F115/12, (OperatingAssumptions!$T16*12) - A114, E114)</f>
        <v>2695.3768773542092</v>
      </c>
      <c r="C115">
        <f>ROUND(E114*F115/12, 2)</f>
        <v>1173.93</v>
      </c>
      <c r="D115" s="6">
        <f>B115-C115</f>
        <v>1521.4468773542092</v>
      </c>
      <c r="E115" s="6">
        <f>E114-D115</f>
        <v>266804.94812664727</v>
      </c>
      <c r="F115">
        <f>OperatingAssumptions!$T14</f>
        <v>5.2499999999999998E-2</v>
      </c>
    </row>
    <row r="116" spans="1:6" x14ac:dyDescent="0.25">
      <c r="A116">
        <v>111</v>
      </c>
      <c r="B116" s="6">
        <f>-PMT(F116/12, (OperatingAssumptions!$T16*12) - A115, E115)</f>
        <v>2695.3768977798723</v>
      </c>
      <c r="C116">
        <f>ROUND(E115*F116/12, 2)</f>
        <v>1167.27</v>
      </c>
      <c r="D116" s="6">
        <f>B116-C116</f>
        <v>1528.1068977798723</v>
      </c>
      <c r="E116" s="6">
        <f>E115-D116</f>
        <v>265276.84122886742</v>
      </c>
      <c r="F116">
        <f>OperatingAssumptions!$T14</f>
        <v>5.2499999999999998E-2</v>
      </c>
    </row>
    <row r="117" spans="1:6" x14ac:dyDescent="0.25">
      <c r="A117">
        <v>112</v>
      </c>
      <c r="B117" s="6">
        <f>-PMT(F117/12, (OperatingAssumptions!$T16*12) - A116, E116)</f>
        <v>2695.3768810346228</v>
      </c>
      <c r="C117">
        <f>ROUND(E116*F117/12, 2)</f>
        <v>1160.5899999999999</v>
      </c>
      <c r="D117" s="6">
        <f>B117-C117</f>
        <v>1534.7868810346229</v>
      </c>
      <c r="E117" s="6">
        <f>E116-D117</f>
        <v>263742.0543478328</v>
      </c>
      <c r="F117">
        <f>OperatingAssumptions!$T14</f>
        <v>5.2499999999999998E-2</v>
      </c>
    </row>
    <row r="118" spans="1:6" x14ac:dyDescent="0.25">
      <c r="A118">
        <v>113</v>
      </c>
      <c r="B118" s="6">
        <f>-PMT(F118/12, (OperatingAssumptions!$T16*12) - A117, E117)</f>
        <v>2695.3769200702091</v>
      </c>
      <c r="C118">
        <f>ROUND(E117*F118/12, 2)</f>
        <v>1153.8699999999999</v>
      </c>
      <c r="D118" s="6">
        <f>B118-C118</f>
        <v>1541.5069200702092</v>
      </c>
      <c r="E118" s="6">
        <f>E117-D118</f>
        <v>262200.54742776259</v>
      </c>
      <c r="F118">
        <f>OperatingAssumptions!$T14</f>
        <v>5.2499999999999998E-2</v>
      </c>
    </row>
    <row r="119" spans="1:6" x14ac:dyDescent="0.25">
      <c r="A119">
        <v>114</v>
      </c>
      <c r="B119" s="6">
        <f>-PMT(F119/12, (OperatingAssumptions!$T16*12) - A118, E118)</f>
        <v>2695.3769047761684</v>
      </c>
      <c r="C119">
        <f>ROUND(E118*F119/12, 2)</f>
        <v>1147.1300000000001</v>
      </c>
      <c r="D119" s="6">
        <f>B119-C119</f>
        <v>1548.2469047761683</v>
      </c>
      <c r="E119" s="6">
        <f>E118-D119</f>
        <v>260652.30052298642</v>
      </c>
      <c r="F119">
        <f>OperatingAssumptions!$T14</f>
        <v>5.2499999999999998E-2</v>
      </c>
    </row>
    <row r="120" spans="1:6" x14ac:dyDescent="0.25">
      <c r="A120">
        <v>115</v>
      </c>
      <c r="B120" s="6">
        <f>-PMT(F120/12, (OperatingAssumptions!$T16*12) - A119, E119)</f>
        <v>2695.3769317142246</v>
      </c>
      <c r="C120">
        <f>ROUND(E119*F120/12, 2)</f>
        <v>1140.3499999999999</v>
      </c>
      <c r="D120" s="6">
        <f>B120-C120</f>
        <v>1555.0269317142247</v>
      </c>
      <c r="E120" s="6">
        <f>E119-D120</f>
        <v>259097.27359127218</v>
      </c>
      <c r="F120">
        <f>OperatingAssumptions!$T14</f>
        <v>5.2499999999999998E-2</v>
      </c>
    </row>
    <row r="121" spans="1:6" x14ac:dyDescent="0.25">
      <c r="A121">
        <v>116</v>
      </c>
      <c r="B121" s="6">
        <f>-PMT(F121/12, (OperatingAssumptions!$T16*12) - A120, E120)</f>
        <v>2695.3768920291618</v>
      </c>
      <c r="C121">
        <f>ROUND(E120*F121/12, 2)</f>
        <v>1133.55</v>
      </c>
      <c r="D121" s="6">
        <f>B121-C121</f>
        <v>1561.8268920291619</v>
      </c>
      <c r="E121" s="6">
        <f>E120-D121</f>
        <v>257535.44669924301</v>
      </c>
      <c r="F121">
        <f>OperatingAssumptions!$T14</f>
        <v>5.2499999999999998E-2</v>
      </c>
    </row>
    <row r="122" spans="1:6" x14ac:dyDescent="0.25">
      <c r="A122">
        <v>117</v>
      </c>
      <c r="B122" s="6">
        <f>-PMT(F122/12, (OperatingAssumptions!$T16*12) - A121, E121)</f>
        <v>2695.3768860429855</v>
      </c>
      <c r="C122">
        <f>ROUND(E121*F122/12, 2)</f>
        <v>1126.72</v>
      </c>
      <c r="D122" s="6">
        <f>B122-C122</f>
        <v>1568.6568860429854</v>
      </c>
      <c r="E122" s="6">
        <f>E121-D122</f>
        <v>255966.78981320001</v>
      </c>
      <c r="F122">
        <f>OperatingAssumptions!$T14</f>
        <v>5.2499999999999998E-2</v>
      </c>
    </row>
    <row r="123" spans="1:6" x14ac:dyDescent="0.25">
      <c r="A123">
        <v>118</v>
      </c>
      <c r="B123" s="6">
        <f>-PMT(F123/12, (OperatingAssumptions!$T16*12) - A122, E122)</f>
        <v>2695.3769115333012</v>
      </c>
      <c r="C123">
        <f>ROUND(E122*F123/12, 2)</f>
        <v>1119.8499999999999</v>
      </c>
      <c r="D123" s="6">
        <f>B123-C123</f>
        <v>1575.5269115333012</v>
      </c>
      <c r="E123" s="6">
        <f>E122-D123</f>
        <v>254391.26290166672</v>
      </c>
      <c r="F123">
        <f>OperatingAssumptions!$T14</f>
        <v>5.2499999999999998E-2</v>
      </c>
    </row>
    <row r="124" spans="1:6" x14ac:dyDescent="0.25">
      <c r="A124">
        <v>119</v>
      </c>
      <c r="B124" s="6">
        <f>-PMT(F124/12, (OperatingAssumptions!$T16*12) - A123, E123)</f>
        <v>2695.3768616773641</v>
      </c>
      <c r="C124">
        <f>ROUND(E123*F124/12, 2)</f>
        <v>1112.96</v>
      </c>
      <c r="D124" s="6">
        <f>B124-C124</f>
        <v>1582.4168616773641</v>
      </c>
      <c r="E124" s="6">
        <f>E123-D124</f>
        <v>252808.84603998935</v>
      </c>
      <c r="F124">
        <f>OperatingAssumptions!$T14</f>
        <v>5.2499999999999998E-2</v>
      </c>
    </row>
    <row r="125" spans="1:6" x14ac:dyDescent="0.25">
      <c r="A125">
        <v>120</v>
      </c>
      <c r="B125" s="6">
        <f>-PMT(F125/12, (OperatingAssumptions!$T16*12) - A124, E124)</f>
        <v>2695.3768427507362</v>
      </c>
      <c r="C125">
        <f>ROUND(E124*F125/12, 2)</f>
        <v>1106.04</v>
      </c>
      <c r="D125" s="6">
        <f>B125-C125</f>
        <v>1589.3368427507362</v>
      </c>
      <c r="E125" s="6">
        <f>E124-D125</f>
        <v>251219.50919723863</v>
      </c>
      <c r="F125">
        <f>OperatingAssumptions!$T14</f>
        <v>5.2499999999999998E-2</v>
      </c>
    </row>
    <row r="126" spans="1:6" x14ac:dyDescent="0.25">
      <c r="A126">
        <v>121</v>
      </c>
      <c r="B126" s="6">
        <f>-PMT(F126/12, (OperatingAssumptions!$T16*12) - A125, E125)</f>
        <v>2695.3768566833692</v>
      </c>
      <c r="C126">
        <f>ROUND(E125*F126/12, 2)</f>
        <v>1099.0899999999999</v>
      </c>
      <c r="D126" s="6">
        <f>B126-C126</f>
        <v>1596.2868566833693</v>
      </c>
      <c r="E126" s="6">
        <f>E125-D126</f>
        <v>249623.22234055525</v>
      </c>
      <c r="F126">
        <f>OperatingAssumptions!$T14</f>
        <v>5.2499999999999998E-2</v>
      </c>
    </row>
    <row r="127" spans="1:6" x14ac:dyDescent="0.25">
      <c r="A127">
        <v>122</v>
      </c>
      <c r="B127" s="6">
        <f>-PMT(F127/12, (OperatingAssumptions!$T16*12) - A126, E126)</f>
        <v>2695.3769068634874</v>
      </c>
      <c r="C127">
        <f>ROUND(E126*F127/12, 2)</f>
        <v>1092.0999999999999</v>
      </c>
      <c r="D127" s="6">
        <f>B127-C127</f>
        <v>1603.2769068634875</v>
      </c>
      <c r="E127" s="6">
        <f>E126-D127</f>
        <v>248019.94543369176</v>
      </c>
      <c r="F127">
        <f>OperatingAssumptions!$T14</f>
        <v>5.2499999999999998E-2</v>
      </c>
    </row>
    <row r="128" spans="1:6" x14ac:dyDescent="0.25">
      <c r="A128">
        <v>123</v>
      </c>
      <c r="B128" s="6">
        <f>-PMT(F128/12, (OperatingAssumptions!$T16*12) - A127, E127)</f>
        <v>2695.3768894999193</v>
      </c>
      <c r="C128">
        <f>ROUND(E127*F128/12, 2)</f>
        <v>1085.0899999999999</v>
      </c>
      <c r="D128" s="6">
        <f>B128-C128</f>
        <v>1610.2868894999194</v>
      </c>
      <c r="E128" s="6">
        <f>E127-D128</f>
        <v>246409.65854419183</v>
      </c>
      <c r="F128">
        <f>OperatingAssumptions!$T14</f>
        <v>5.2499999999999998E-2</v>
      </c>
    </row>
    <row r="129" spans="1:6" x14ac:dyDescent="0.25">
      <c r="A129">
        <v>124</v>
      </c>
      <c r="B129" s="6">
        <f>-PMT(F129/12, (OperatingAssumptions!$T16*12) - A128, E128)</f>
        <v>2695.3769194577676</v>
      </c>
      <c r="C129">
        <f>ROUND(E128*F129/12, 2)</f>
        <v>1078.04</v>
      </c>
      <c r="D129" s="6">
        <f>B129-C129</f>
        <v>1617.3369194577676</v>
      </c>
      <c r="E129" s="6">
        <f>E128-D129</f>
        <v>244792.32162473406</v>
      </c>
      <c r="F129">
        <f>OperatingAssumptions!$T14</f>
        <v>5.2499999999999998E-2</v>
      </c>
    </row>
    <row r="130" spans="1:6" x14ac:dyDescent="0.25">
      <c r="A130">
        <v>125</v>
      </c>
      <c r="B130" s="6">
        <f>-PMT(F130/12, (OperatingAssumptions!$T16*12) - A129, E129)</f>
        <v>2695.3768946157998</v>
      </c>
      <c r="C130">
        <f>ROUND(E129*F130/12, 2)</f>
        <v>1070.97</v>
      </c>
      <c r="D130" s="6">
        <f>B130-C130</f>
        <v>1624.4068946157997</v>
      </c>
      <c r="E130" s="6">
        <f>E129-D130</f>
        <v>243167.91473011827</v>
      </c>
      <c r="F130">
        <f>OperatingAssumptions!$T14</f>
        <v>5.2499999999999998E-2</v>
      </c>
    </row>
    <row r="131" spans="1:6" x14ac:dyDescent="0.25">
      <c r="A131">
        <v>126</v>
      </c>
      <c r="B131" s="6">
        <f>-PMT(F131/12, (OperatingAssumptions!$T16*12) - A130, E130)</f>
        <v>2695.3769344409457</v>
      </c>
      <c r="C131">
        <f>ROUND(E130*F131/12, 2)</f>
        <v>1063.8599999999999</v>
      </c>
      <c r="D131" s="6">
        <f>B131-C131</f>
        <v>1631.5169344409458</v>
      </c>
      <c r="E131" s="6">
        <f>E130-D131</f>
        <v>241536.39779567733</v>
      </c>
      <c r="F131">
        <f>OperatingAssumptions!$T14</f>
        <v>5.2499999999999998E-2</v>
      </c>
    </row>
    <row r="132" spans="1:6" x14ac:dyDescent="0.25">
      <c r="A132">
        <v>127</v>
      </c>
      <c r="B132" s="6">
        <f>-PMT(F132/12, (OperatingAssumptions!$T16*12) - A131, E131)</f>
        <v>2695.3769386039862</v>
      </c>
      <c r="C132">
        <f>ROUND(E131*F132/12, 2)</f>
        <v>1056.72</v>
      </c>
      <c r="D132" s="6">
        <f>B132-C132</f>
        <v>1638.6569386039862</v>
      </c>
      <c r="E132" s="6">
        <f>E131-D132</f>
        <v>239897.74085707334</v>
      </c>
      <c r="F132">
        <f>OperatingAssumptions!$T14</f>
        <v>5.2499999999999998E-2</v>
      </c>
    </row>
    <row r="133" spans="1:6" x14ac:dyDescent="0.25">
      <c r="A133">
        <v>128</v>
      </c>
      <c r="B133" s="6">
        <f>-PMT(F133/12, (OperatingAssumptions!$T16*12) - A132, E132)</f>
        <v>2695.3769190501735</v>
      </c>
      <c r="C133">
        <f>ROUND(E132*F133/12, 2)</f>
        <v>1049.55</v>
      </c>
      <c r="D133" s="6">
        <f>B133-C133</f>
        <v>1645.8269190501735</v>
      </c>
      <c r="E133" s="6">
        <f>E132-D133</f>
        <v>238251.91393802318</v>
      </c>
      <c r="F133">
        <f>OperatingAssumptions!$T14</f>
        <v>5.2499999999999998E-2</v>
      </c>
    </row>
    <row r="134" spans="1:6" x14ac:dyDescent="0.25">
      <c r="A134">
        <v>129</v>
      </c>
      <c r="B134" s="6">
        <f>-PMT(F134/12, (OperatingAssumptions!$T16*12) - A133, E133)</f>
        <v>2695.3768894521781</v>
      </c>
      <c r="C134">
        <f>ROUND(E133*F134/12, 2)</f>
        <v>1042.3499999999999</v>
      </c>
      <c r="D134" s="6">
        <f>B134-C134</f>
        <v>1653.0268894521782</v>
      </c>
      <c r="E134" s="6">
        <f>E133-D134</f>
        <v>236598.88704857099</v>
      </c>
      <c r="F134">
        <f>OperatingAssumptions!$T14</f>
        <v>5.2499999999999998E-2</v>
      </c>
    </row>
    <row r="135" spans="1:6" x14ac:dyDescent="0.25">
      <c r="A135">
        <v>130</v>
      </c>
      <c r="B135" s="6">
        <f>-PMT(F135/12, (OperatingAssumptions!$T16*12) - A134, E134)</f>
        <v>2695.376865261127</v>
      </c>
      <c r="C135">
        <f>ROUND(E134*F135/12, 2)</f>
        <v>1035.1199999999999</v>
      </c>
      <c r="D135" s="6">
        <f>B135-C135</f>
        <v>1660.2568652611271</v>
      </c>
      <c r="E135" s="6">
        <f>E134-D135</f>
        <v>234938.63018330987</v>
      </c>
      <c r="F135">
        <f>OperatingAssumptions!$T14</f>
        <v>5.2499999999999998E-2</v>
      </c>
    </row>
    <row r="136" spans="1:6" x14ac:dyDescent="0.25">
      <c r="A136">
        <v>131</v>
      </c>
      <c r="B136" s="6">
        <f>-PMT(F136/12, (OperatingAssumptions!$T16*12) - A135, E135)</f>
        <v>2695.3768637600697</v>
      </c>
      <c r="C136">
        <f>ROUND(E135*F136/12, 2)</f>
        <v>1027.8599999999999</v>
      </c>
      <c r="D136" s="6">
        <f>B136-C136</f>
        <v>1667.5168637600698</v>
      </c>
      <c r="E136" s="6">
        <f>E135-D136</f>
        <v>233271.1133195498</v>
      </c>
      <c r="F136">
        <f>OperatingAssumptions!$T14</f>
        <v>5.2499999999999998E-2</v>
      </c>
    </row>
    <row r="137" spans="1:6" x14ac:dyDescent="0.25">
      <c r="A137">
        <v>132</v>
      </c>
      <c r="B137" s="6">
        <f>-PMT(F137/12, (OperatingAssumptions!$T16*12) - A136, E136)</f>
        <v>2695.3769041200239</v>
      </c>
      <c r="C137">
        <f>ROUND(E136*F137/12, 2)</f>
        <v>1020.56</v>
      </c>
      <c r="D137" s="6">
        <f>B137-C137</f>
        <v>1674.816904120024</v>
      </c>
      <c r="E137" s="6">
        <f>E136-D137</f>
        <v>231596.29641542977</v>
      </c>
      <c r="F137">
        <f>OperatingAssumptions!$T14</f>
        <v>5.2499999999999998E-2</v>
      </c>
    </row>
    <row r="138" spans="1:6" x14ac:dyDescent="0.25">
      <c r="A138">
        <v>133</v>
      </c>
      <c r="B138" s="6">
        <f>-PMT(F138/12, (OperatingAssumptions!$T16*12) - A137, E137)</f>
        <v>2695.376891076181</v>
      </c>
      <c r="C138">
        <f>ROUND(E137*F138/12, 2)</f>
        <v>1013.23</v>
      </c>
      <c r="D138" s="6">
        <f>B138-C138</f>
        <v>1682.146891076181</v>
      </c>
      <c r="E138" s="6">
        <f>E137-D138</f>
        <v>229914.14952435359</v>
      </c>
      <c r="F138">
        <f>OperatingAssumptions!$T14</f>
        <v>5.2499999999999998E-2</v>
      </c>
    </row>
    <row r="139" spans="1:6" x14ac:dyDescent="0.25">
      <c r="A139">
        <v>134</v>
      </c>
      <c r="B139" s="6">
        <f>-PMT(F139/12, (OperatingAssumptions!$T16*12) - A138, E138)</f>
        <v>2695.3768465645485</v>
      </c>
      <c r="C139">
        <f>ROUND(E138*F139/12, 2)</f>
        <v>1005.87</v>
      </c>
      <c r="D139" s="6">
        <f>B139-C139</f>
        <v>1689.5068465645486</v>
      </c>
      <c r="E139" s="6">
        <f>E138-D139</f>
        <v>228224.64267778903</v>
      </c>
      <c r="F139">
        <f>OperatingAssumptions!$T14</f>
        <v>5.2499999999999998E-2</v>
      </c>
    </row>
    <row r="140" spans="1:6" x14ac:dyDescent="0.25">
      <c r="A140">
        <v>135</v>
      </c>
      <c r="B140" s="6">
        <f>-PMT(F140/12, (OperatingAssumptions!$T16*12) - A139, E139)</f>
        <v>2695.3767945504678</v>
      </c>
      <c r="C140">
        <f>ROUND(E139*F140/12, 2)</f>
        <v>998.48</v>
      </c>
      <c r="D140" s="6">
        <f>B140-C140</f>
        <v>1696.8967945504678</v>
      </c>
      <c r="E140" s="6">
        <f>E139-D140</f>
        <v>226527.74588323856</v>
      </c>
      <c r="F140">
        <f>OperatingAssumptions!$T14</f>
        <v>5.2499999999999998E-2</v>
      </c>
    </row>
    <row r="141" spans="1:6" x14ac:dyDescent="0.25">
      <c r="A141">
        <v>136</v>
      </c>
      <c r="B141" s="6">
        <f>-PMT(F141/12, (OperatingAssumptions!$T16*12) - A140, E140)</f>
        <v>2695.3767610948216</v>
      </c>
      <c r="C141">
        <f>ROUND(E140*F141/12, 2)</f>
        <v>991.06</v>
      </c>
      <c r="D141" s="6">
        <f>B141-C141</f>
        <v>1704.3167610948217</v>
      </c>
      <c r="E141" s="6">
        <f>E140-D141</f>
        <v>224823.42912214375</v>
      </c>
      <c r="F141">
        <f>OperatingAssumptions!$T14</f>
        <v>5.2499999999999998E-2</v>
      </c>
    </row>
    <row r="142" spans="1:6" x14ac:dyDescent="0.25">
      <c r="A142">
        <v>137</v>
      </c>
      <c r="B142" s="6">
        <f>-PMT(F142/12, (OperatingAssumptions!$T16*12) - A141, E141)</f>
        <v>2695.376774423567</v>
      </c>
      <c r="C142">
        <f>ROUND(E141*F142/12, 2)</f>
        <v>983.6</v>
      </c>
      <c r="D142" s="6">
        <f>B142-C142</f>
        <v>1711.7767744235671</v>
      </c>
      <c r="E142" s="6">
        <f>E141-D142</f>
        <v>223111.65234772017</v>
      </c>
      <c r="F142">
        <f>OperatingAssumptions!$T14</f>
        <v>5.2499999999999998E-2</v>
      </c>
    </row>
    <row r="143" spans="1:6" x14ac:dyDescent="0.25">
      <c r="A143">
        <v>138</v>
      </c>
      <c r="B143" s="6">
        <f>-PMT(F143/12, (OperatingAssumptions!$T16*12) - A142, E142)</f>
        <v>2695.3767441923537</v>
      </c>
      <c r="C143">
        <f>ROUND(E142*F143/12, 2)</f>
        <v>976.11</v>
      </c>
      <c r="D143" s="6">
        <f>B143-C143</f>
        <v>1719.2667441923536</v>
      </c>
      <c r="E143" s="6">
        <f>E142-D143</f>
        <v>221392.38560352783</v>
      </c>
      <c r="F143">
        <f>OperatingAssumptions!$T14</f>
        <v>5.2499999999999998E-2</v>
      </c>
    </row>
    <row r="144" spans="1:6" x14ac:dyDescent="0.25">
      <c r="A144">
        <v>139</v>
      </c>
      <c r="B144" s="6">
        <f>-PMT(F144/12, (OperatingAssumptions!$T16*12) - A143, E143)</f>
        <v>2695.3767018364579</v>
      </c>
      <c r="C144">
        <f>ROUND(E143*F144/12, 2)</f>
        <v>968.59</v>
      </c>
      <c r="D144" s="6">
        <f>B144-C144</f>
        <v>1726.7867018364577</v>
      </c>
      <c r="E144" s="6">
        <f>E143-D144</f>
        <v>219665.59890169138</v>
      </c>
      <c r="F144">
        <f>OperatingAssumptions!$T14</f>
        <v>5.2499999999999998E-2</v>
      </c>
    </row>
    <row r="145" spans="1:6" x14ac:dyDescent="0.25">
      <c r="A145">
        <v>140</v>
      </c>
      <c r="B145" s="6">
        <f>-PMT(F145/12, (OperatingAssumptions!$T16*12) - A144, E144)</f>
        <v>2695.3766811361652</v>
      </c>
      <c r="C145">
        <f>ROUND(E144*F145/12, 2)</f>
        <v>961.04</v>
      </c>
      <c r="D145" s="6">
        <f>B145-C145</f>
        <v>1734.3366811361652</v>
      </c>
      <c r="E145" s="6">
        <f>E144-D145</f>
        <v>217931.26222055522</v>
      </c>
      <c r="F145">
        <f>OperatingAssumptions!$T14</f>
        <v>5.2499999999999998E-2</v>
      </c>
    </row>
    <row r="146" spans="1:6" x14ac:dyDescent="0.25">
      <c r="A146">
        <v>141</v>
      </c>
      <c r="B146" s="6">
        <f>-PMT(F146/12, (OperatingAssumptions!$T16*12) - A145, E145)</f>
        <v>2695.3767182996344</v>
      </c>
      <c r="C146">
        <f>ROUND(E145*F146/12, 2)</f>
        <v>953.45</v>
      </c>
      <c r="D146" s="6">
        <f>B146-C146</f>
        <v>1741.9267182996343</v>
      </c>
      <c r="E146" s="6">
        <f>E145-D146</f>
        <v>216189.33550225559</v>
      </c>
      <c r="F146">
        <f>OperatingAssumptions!$T14</f>
        <v>5.2499999999999998E-2</v>
      </c>
    </row>
    <row r="147" spans="1:6" x14ac:dyDescent="0.25">
      <c r="A147">
        <v>142</v>
      </c>
      <c r="B147" s="6">
        <f>-PMT(F147/12, (OperatingAssumptions!$T16*12) - A146, E146)</f>
        <v>2695.3767273734161</v>
      </c>
      <c r="C147">
        <f>ROUND(E146*F147/12, 2)</f>
        <v>945.83</v>
      </c>
      <c r="D147" s="6">
        <f>B147-C147</f>
        <v>1749.5467273734162</v>
      </c>
      <c r="E147" s="6">
        <f>E146-D147</f>
        <v>214439.78877488218</v>
      </c>
      <c r="F147">
        <f>OperatingAssumptions!$T14</f>
        <v>5.2499999999999998E-2</v>
      </c>
    </row>
    <row r="148" spans="1:6" x14ac:dyDescent="0.25">
      <c r="A148">
        <v>143</v>
      </c>
      <c r="B148" s="6">
        <f>-PMT(F148/12, (OperatingAssumptions!$T16*12) - A147, E147)</f>
        <v>2695.3767482031244</v>
      </c>
      <c r="C148">
        <f>ROUND(E147*F148/12, 2)</f>
        <v>938.17</v>
      </c>
      <c r="D148" s="6">
        <f>B148-C148</f>
        <v>1757.2067482031243</v>
      </c>
      <c r="E148" s="6">
        <f>E147-D148</f>
        <v>212682.58202667907</v>
      </c>
      <c r="F148">
        <f>OperatingAssumptions!$T14</f>
        <v>5.2499999999999998E-2</v>
      </c>
    </row>
    <row r="149" spans="1:6" x14ac:dyDescent="0.25">
      <c r="A149">
        <v>144</v>
      </c>
      <c r="B149" s="6">
        <f>-PMT(F149/12, (OperatingAssumptions!$T16*12) - A148, E148)</f>
        <v>2695.3766965484042</v>
      </c>
      <c r="C149">
        <f>ROUND(E148*F149/12, 2)</f>
        <v>930.49</v>
      </c>
      <c r="D149" s="6">
        <f>B149-C149</f>
        <v>1764.8866965484042</v>
      </c>
      <c r="E149" s="6">
        <f>E148-D149</f>
        <v>210917.69533013066</v>
      </c>
      <c r="F149">
        <f>OperatingAssumptions!$T14</f>
        <v>5.2499999999999998E-2</v>
      </c>
    </row>
    <row r="150" spans="1:6" x14ac:dyDescent="0.25">
      <c r="A150">
        <v>145</v>
      </c>
      <c r="B150" s="6">
        <f>-PMT(F150/12, (OperatingAssumptions!$T16*12) - A149, E149)</f>
        <v>2695.3767438781788</v>
      </c>
      <c r="C150">
        <f>ROUND(E149*F150/12, 2)</f>
        <v>922.76</v>
      </c>
      <c r="D150" s="6">
        <f>B150-C150</f>
        <v>1772.6167438781788</v>
      </c>
      <c r="E150" s="6">
        <f>E149-D150</f>
        <v>209145.07858625249</v>
      </c>
      <c r="F150">
        <f>OperatingAssumptions!$T14</f>
        <v>5.2499999999999998E-2</v>
      </c>
    </row>
    <row r="151" spans="1:6" x14ac:dyDescent="0.25">
      <c r="A151">
        <v>146</v>
      </c>
      <c r="B151" s="6">
        <f>-PMT(F151/12, (OperatingAssumptions!$T16*12) - A150, E150)</f>
        <v>2695.3766805089904</v>
      </c>
      <c r="C151">
        <f>ROUND(E150*F151/12, 2)</f>
        <v>915.01</v>
      </c>
      <c r="D151" s="6">
        <f>B151-C151</f>
        <v>1780.3666805089904</v>
      </c>
      <c r="E151" s="6">
        <f>E150-D151</f>
        <v>207364.71190574349</v>
      </c>
      <c r="F151">
        <f>OperatingAssumptions!$T14</f>
        <v>5.2499999999999998E-2</v>
      </c>
    </row>
    <row r="152" spans="1:6" x14ac:dyDescent="0.25">
      <c r="A152">
        <v>147</v>
      </c>
      <c r="B152" s="6">
        <f>-PMT(F152/12, (OperatingAssumptions!$T16*12) - A151, E151)</f>
        <v>2695.3766841639026</v>
      </c>
      <c r="C152">
        <f>ROUND(E151*F152/12, 2)</f>
        <v>907.22</v>
      </c>
      <c r="D152" s="6">
        <f>B152-C152</f>
        <v>1788.1566841639026</v>
      </c>
      <c r="E152" s="6">
        <f>E151-D152</f>
        <v>205576.55522157959</v>
      </c>
      <c r="F152">
        <f>OperatingAssumptions!$T14</f>
        <v>5.2499999999999998E-2</v>
      </c>
    </row>
    <row r="153" spans="1:6" x14ac:dyDescent="0.25">
      <c r="A153">
        <v>148</v>
      </c>
      <c r="B153" s="6">
        <f>-PMT(F153/12, (OperatingAssumptions!$T16*12) - A152, E152)</f>
        <v>2695.3766761058573</v>
      </c>
      <c r="C153">
        <f>ROUND(E152*F153/12, 2)</f>
        <v>899.4</v>
      </c>
      <c r="D153" s="6">
        <f>B153-C153</f>
        <v>1795.9766761058572</v>
      </c>
      <c r="E153" s="6">
        <f>E152-D153</f>
        <v>203780.57854547372</v>
      </c>
      <c r="F153">
        <f>OperatingAssumptions!$T14</f>
        <v>5.2499999999999998E-2</v>
      </c>
    </row>
    <row r="154" spans="1:6" x14ac:dyDescent="0.25">
      <c r="A154">
        <v>149</v>
      </c>
      <c r="B154" s="6">
        <f>-PMT(F154/12, (OperatingAssumptions!$T16*12) - A153, E153)</f>
        <v>2695.3767101108597</v>
      </c>
      <c r="C154">
        <f>ROUND(E153*F154/12, 2)</f>
        <v>891.54</v>
      </c>
      <c r="D154" s="6">
        <f>B154-C154</f>
        <v>1803.8367101108597</v>
      </c>
      <c r="E154" s="6">
        <f>E153-D154</f>
        <v>201976.74183536286</v>
      </c>
      <c r="F154">
        <f>OperatingAssumptions!$T14</f>
        <v>5.2499999999999998E-2</v>
      </c>
    </row>
    <row r="155" spans="1:6" x14ac:dyDescent="0.25">
      <c r="A155">
        <v>150</v>
      </c>
      <c r="B155" s="6">
        <f>-PMT(F155/12, (OperatingAssumptions!$T16*12) - A154, E154)</f>
        <v>2695.3767096953443</v>
      </c>
      <c r="C155">
        <f>ROUND(E154*F155/12, 2)</f>
        <v>883.65</v>
      </c>
      <c r="D155" s="6">
        <f>B155-C155</f>
        <v>1811.7267096953442</v>
      </c>
      <c r="E155" s="6">
        <f>E154-D155</f>
        <v>200165.0151256675</v>
      </c>
      <c r="F155">
        <f>OperatingAssumptions!$T14</f>
        <v>5.2499999999999998E-2</v>
      </c>
    </row>
    <row r="156" spans="1:6" x14ac:dyDescent="0.25">
      <c r="A156">
        <v>151</v>
      </c>
      <c r="B156" s="6">
        <f>-PMT(F156/12, (OperatingAssumptions!$T16*12) - A155, E155)</f>
        <v>2695.3767333206429</v>
      </c>
      <c r="C156">
        <f>ROUND(E155*F156/12, 2)</f>
        <v>875.72</v>
      </c>
      <c r="D156" s="6">
        <f>B156-C156</f>
        <v>1819.6567333206428</v>
      </c>
      <c r="E156" s="6">
        <f>E155-D156</f>
        <v>198345.35839234685</v>
      </c>
      <c r="F156">
        <f>OperatingAssumptions!$T14</f>
        <v>5.2499999999999998E-2</v>
      </c>
    </row>
    <row r="157" spans="1:6" x14ac:dyDescent="0.25">
      <c r="A157">
        <v>152</v>
      </c>
      <c r="B157" s="6">
        <f>-PMT(F157/12, (OperatingAssumptions!$T16*12) - A156, E156)</f>
        <v>2695.3767069414162</v>
      </c>
      <c r="C157">
        <f>ROUND(E156*F157/12, 2)</f>
        <v>867.76</v>
      </c>
      <c r="D157" s="6">
        <f>B157-C157</f>
        <v>1827.6167069414162</v>
      </c>
      <c r="E157" s="6">
        <f>E156-D157</f>
        <v>196517.74168540543</v>
      </c>
      <c r="F157">
        <f>OperatingAssumptions!$T14</f>
        <v>5.2499999999999998E-2</v>
      </c>
    </row>
    <row r="158" spans="1:6" x14ac:dyDescent="0.25">
      <c r="A158">
        <v>153</v>
      </c>
      <c r="B158" s="6">
        <f>-PMT(F158/12, (OperatingAssumptions!$T16*12) - A157, E157)</f>
        <v>2695.3766940079777</v>
      </c>
      <c r="C158">
        <f>ROUND(E157*F158/12, 2)</f>
        <v>859.77</v>
      </c>
      <c r="D158" s="6">
        <f>B158-C158</f>
        <v>1835.6066940079777</v>
      </c>
      <c r="E158" s="6">
        <f>E157-D158</f>
        <v>194682.13499139744</v>
      </c>
      <c r="F158">
        <f>OperatingAssumptions!$T14</f>
        <v>5.2499999999999998E-2</v>
      </c>
    </row>
    <row r="159" spans="1:6" x14ac:dyDescent="0.25">
      <c r="A159">
        <v>154</v>
      </c>
      <c r="B159" s="6">
        <f>-PMT(F159/12, (OperatingAssumptions!$T16*12) - A158, E158)</f>
        <v>2695.3767615733923</v>
      </c>
      <c r="C159">
        <f>ROUND(E158*F159/12, 2)</f>
        <v>851.73</v>
      </c>
      <c r="D159" s="6">
        <f>B159-C159</f>
        <v>1843.6467615733923</v>
      </c>
      <c r="E159" s="6">
        <f>E158-D159</f>
        <v>192838.48822982406</v>
      </c>
      <c r="F159">
        <f>OperatingAssumptions!$T14</f>
        <v>5.2499999999999998E-2</v>
      </c>
    </row>
    <row r="160" spans="1:6" x14ac:dyDescent="0.25">
      <c r="A160">
        <v>155</v>
      </c>
      <c r="B160" s="6">
        <f>-PMT(F160/12, (OperatingAssumptions!$T16*12) - A159, E159)</f>
        <v>2695.3767009033563</v>
      </c>
      <c r="C160">
        <f>ROUND(E159*F160/12, 2)</f>
        <v>843.67</v>
      </c>
      <c r="D160" s="6">
        <f>B160-C160</f>
        <v>1851.7067009033562</v>
      </c>
      <c r="E160" s="6">
        <f>E159-D160</f>
        <v>190986.78152892069</v>
      </c>
      <c r="F160">
        <f>OperatingAssumptions!$T14</f>
        <v>5.2499999999999998E-2</v>
      </c>
    </row>
    <row r="161" spans="1:6" x14ac:dyDescent="0.25">
      <c r="A161">
        <v>156</v>
      </c>
      <c r="B161" s="6">
        <f>-PMT(F161/12, (OperatingAssumptions!$T16*12) - A160, E160)</f>
        <v>2695.3767236814947</v>
      </c>
      <c r="C161">
        <f>ROUND(E160*F161/12, 2)</f>
        <v>835.57</v>
      </c>
      <c r="D161" s="6">
        <f>B161-C161</f>
        <v>1859.8067236814945</v>
      </c>
      <c r="E161" s="6">
        <f>E160-D161</f>
        <v>189126.97480523921</v>
      </c>
      <c r="F161">
        <f>OperatingAssumptions!$T14</f>
        <v>5.2499999999999998E-2</v>
      </c>
    </row>
    <row r="162" spans="1:6" x14ac:dyDescent="0.25">
      <c r="A162">
        <v>157</v>
      </c>
      <c r="B162" s="6">
        <f>-PMT(F162/12, (OperatingAssumptions!$T16*12) - A161, E161)</f>
        <v>2695.3767640253013</v>
      </c>
      <c r="C162">
        <f>ROUND(E161*F162/12, 2)</f>
        <v>827.43</v>
      </c>
      <c r="D162" s="6">
        <f>B162-C162</f>
        <v>1867.9467640253015</v>
      </c>
      <c r="E162" s="6">
        <f>E161-D162</f>
        <v>187259.0280412139</v>
      </c>
      <c r="F162">
        <f>OperatingAssumptions!$T14</f>
        <v>5.2499999999999998E-2</v>
      </c>
    </row>
    <row r="163" spans="1:6" x14ac:dyDescent="0.25">
      <c r="A163">
        <v>158</v>
      </c>
      <c r="B163" s="6">
        <f>-PMT(F163/12, (OperatingAssumptions!$T16*12) - A162, E162)</f>
        <v>2695.3767566157408</v>
      </c>
      <c r="C163">
        <f>ROUND(E162*F163/12, 2)</f>
        <v>819.26</v>
      </c>
      <c r="D163" s="6">
        <f>B163-C163</f>
        <v>1876.1167566157408</v>
      </c>
      <c r="E163" s="6">
        <f>E162-D163</f>
        <v>185382.91128459814</v>
      </c>
      <c r="F163">
        <f>OperatingAssumptions!$T14</f>
        <v>5.2499999999999998E-2</v>
      </c>
    </row>
    <row r="164" spans="1:6" x14ac:dyDescent="0.25">
      <c r="A164">
        <v>159</v>
      </c>
      <c r="B164" s="6">
        <f>-PMT(F164/12, (OperatingAssumptions!$T16*12) - A163, E163)</f>
        <v>2695.3767820936118</v>
      </c>
      <c r="C164">
        <f>ROUND(E163*F164/12, 2)</f>
        <v>811.05</v>
      </c>
      <c r="D164" s="6">
        <f>B164-C164</f>
        <v>1884.3267820936119</v>
      </c>
      <c r="E164" s="6">
        <f>E163-D164</f>
        <v>183498.58450250453</v>
      </c>
      <c r="F164">
        <f>OperatingAssumptions!$T14</f>
        <v>5.2499999999999998E-2</v>
      </c>
    </row>
    <row r="165" spans="1:6" x14ac:dyDescent="0.25">
      <c r="A165">
        <v>160</v>
      </c>
      <c r="B165" s="6">
        <f>-PMT(F165/12, (OperatingAssumptions!$T16*12) - A164, E164)</f>
        <v>2695.3767786142703</v>
      </c>
      <c r="C165">
        <f>ROUND(E164*F165/12, 2)</f>
        <v>802.81</v>
      </c>
      <c r="D165" s="6">
        <f>B165-C165</f>
        <v>1892.5667786142703</v>
      </c>
      <c r="E165" s="6">
        <f>E164-D165</f>
        <v>181606.01772389025</v>
      </c>
      <c r="F165">
        <f>OperatingAssumptions!$T14</f>
        <v>5.2499999999999998E-2</v>
      </c>
    </row>
    <row r="166" spans="1:6" x14ac:dyDescent="0.25">
      <c r="A166">
        <v>161</v>
      </c>
      <c r="B166" s="6">
        <f>-PMT(F166/12, (OperatingAssumptions!$T16*12) - A165, E165)</f>
        <v>2695.376833422431</v>
      </c>
      <c r="C166">
        <f>ROUND(E165*F166/12, 2)</f>
        <v>794.53</v>
      </c>
      <c r="D166" s="6">
        <f>B166-C166</f>
        <v>1900.846833422431</v>
      </c>
      <c r="E166" s="6">
        <f>E165-D166</f>
        <v>179705.17089046782</v>
      </c>
      <c r="F166">
        <f>OperatingAssumptions!$T14</f>
        <v>5.2499999999999998E-2</v>
      </c>
    </row>
    <row r="167" spans="1:6" x14ac:dyDescent="0.25">
      <c r="A167">
        <v>162</v>
      </c>
      <c r="B167" s="6">
        <f>-PMT(F167/12, (OperatingAssumptions!$T16*12) - A166, E166)</f>
        <v>2695.3768885051995</v>
      </c>
      <c r="C167">
        <f>ROUND(E166*F167/12, 2)</f>
        <v>786.21</v>
      </c>
      <c r="D167" s="6">
        <f>B167-C167</f>
        <v>1909.1668885051995</v>
      </c>
      <c r="E167" s="6">
        <f>E166-D167</f>
        <v>177796.00400196263</v>
      </c>
      <c r="F167">
        <f>OperatingAssumptions!$T14</f>
        <v>5.2499999999999998E-2</v>
      </c>
    </row>
    <row r="168" spans="1:6" x14ac:dyDescent="0.25">
      <c r="A168">
        <v>163</v>
      </c>
      <c r="B168" s="6">
        <f>-PMT(F168/12, (OperatingAssumptions!$T16*12) - A167, E167)</f>
        <v>2695.3768866458963</v>
      </c>
      <c r="C168">
        <f>ROUND(E167*F168/12, 2)</f>
        <v>777.86</v>
      </c>
      <c r="D168" s="6">
        <f>B168-C168</f>
        <v>1917.5168866458962</v>
      </c>
      <c r="E168" s="6">
        <f>E167-D168</f>
        <v>175878.48711531673</v>
      </c>
      <c r="F168">
        <f>OperatingAssumptions!$T14</f>
        <v>5.2499999999999998E-2</v>
      </c>
    </row>
    <row r="169" spans="1:6" x14ac:dyDescent="0.25">
      <c r="A169">
        <v>164</v>
      </c>
      <c r="B169" s="6">
        <f>-PMT(F169/12, (OperatingAssumptions!$T16*12) - A168, E168)</f>
        <v>2695.376924690629</v>
      </c>
      <c r="C169">
        <f>ROUND(E168*F169/12, 2)</f>
        <v>769.47</v>
      </c>
      <c r="D169" s="6">
        <f>B169-C169</f>
        <v>1925.906924690629</v>
      </c>
      <c r="E169" s="6">
        <f>E168-D169</f>
        <v>173952.58019062612</v>
      </c>
      <c r="F169">
        <f>OperatingAssumptions!$T14</f>
        <v>5.2499999999999998E-2</v>
      </c>
    </row>
    <row r="170" spans="1:6" x14ac:dyDescent="0.25">
      <c r="A170">
        <v>165</v>
      </c>
      <c r="B170" s="6">
        <f>-PMT(F170/12, (OperatingAssumptions!$T16*12) - A169, E169)</f>
        <v>2695.3769497748572</v>
      </c>
      <c r="C170">
        <f>ROUND(E169*F170/12, 2)</f>
        <v>761.04</v>
      </c>
      <c r="D170" s="6">
        <f>B170-C170</f>
        <v>1934.3369497748572</v>
      </c>
      <c r="E170" s="6">
        <f>E169-D170</f>
        <v>172018.24324085127</v>
      </c>
      <c r="F170">
        <f>OperatingAssumptions!$T14</f>
        <v>5.2499999999999998E-2</v>
      </c>
    </row>
    <row r="171" spans="1:6" x14ac:dyDescent="0.25">
      <c r="A171">
        <v>166</v>
      </c>
      <c r="B171" s="6">
        <f>-PMT(F171/12, (OperatingAssumptions!$T16*12) - A170, E170)</f>
        <v>2695.3769100013628</v>
      </c>
      <c r="C171">
        <f>ROUND(E170*F171/12, 2)</f>
        <v>752.58</v>
      </c>
      <c r="D171" s="6">
        <f>B171-C171</f>
        <v>1942.7969100013629</v>
      </c>
      <c r="E171" s="6">
        <f>E170-D171</f>
        <v>170075.4463308499</v>
      </c>
      <c r="F171">
        <f>OperatingAssumptions!$T14</f>
        <v>5.2499999999999998E-2</v>
      </c>
    </row>
    <row r="172" spans="1:6" x14ac:dyDescent="0.25">
      <c r="A172">
        <v>167</v>
      </c>
      <c r="B172" s="6">
        <f>-PMT(F172/12, (OperatingAssumptions!$T16*12) - A171, E171)</f>
        <v>2695.3769129462808</v>
      </c>
      <c r="C172">
        <f>ROUND(E171*F172/12, 2)</f>
        <v>744.08</v>
      </c>
      <c r="D172" s="6">
        <f>B172-C172</f>
        <v>1951.2969129462808</v>
      </c>
      <c r="E172" s="6">
        <f>E171-D172</f>
        <v>168124.14941790362</v>
      </c>
      <c r="F172">
        <f>OperatingAssumptions!$T14</f>
        <v>5.2499999999999998E-2</v>
      </c>
    </row>
    <row r="173" spans="1:6" x14ac:dyDescent="0.25">
      <c r="A173">
        <v>168</v>
      </c>
      <c r="B173" s="6">
        <f>-PMT(F173/12, (OperatingAssumptions!$T16*12) - A172, E172)</f>
        <v>2695.3769117006295</v>
      </c>
      <c r="C173">
        <f>ROUND(E172*F173/12, 2)</f>
        <v>735.54</v>
      </c>
      <c r="D173" s="6">
        <f>B173-C173</f>
        <v>1959.8369117006296</v>
      </c>
      <c r="E173" s="6">
        <f>E172-D173</f>
        <v>166164.31250620299</v>
      </c>
      <c r="F173">
        <f>OperatingAssumptions!$T14</f>
        <v>5.2499999999999998E-2</v>
      </c>
    </row>
    <row r="174" spans="1:6" x14ac:dyDescent="0.25">
      <c r="A174">
        <v>169</v>
      </c>
      <c r="B174" s="6">
        <f>-PMT(F174/12, (OperatingAssumptions!$T16*12) - A173, E173)</f>
        <v>2695.3768605439236</v>
      </c>
      <c r="C174">
        <f>ROUND(E173*F174/12, 2)</f>
        <v>726.97</v>
      </c>
      <c r="D174" s="6">
        <f>B174-C174</f>
        <v>1968.4068605439236</v>
      </c>
      <c r="E174" s="6">
        <f>E173-D174</f>
        <v>164195.90564565908</v>
      </c>
      <c r="F174">
        <f>OperatingAssumptions!$T14</f>
        <v>5.2499999999999998E-2</v>
      </c>
    </row>
    <row r="175" spans="1:6" x14ac:dyDescent="0.25">
      <c r="A175">
        <v>170</v>
      </c>
      <c r="B175" s="6">
        <f>-PMT(F175/12, (OperatingAssumptions!$T16*12) - A174, E174)</f>
        <v>2695.3768791392927</v>
      </c>
      <c r="C175">
        <f>ROUND(E174*F175/12, 2)</f>
        <v>718.36</v>
      </c>
      <c r="D175" s="6">
        <f>B175-C175</f>
        <v>1977.0168791392925</v>
      </c>
      <c r="E175" s="6">
        <f>E174-D175</f>
        <v>162218.88876651978</v>
      </c>
      <c r="F175">
        <f>OperatingAssumptions!$T14</f>
        <v>5.2499999999999998E-2</v>
      </c>
    </row>
    <row r="176" spans="1:6" x14ac:dyDescent="0.25">
      <c r="A176">
        <v>171</v>
      </c>
      <c r="B176" s="6">
        <f>-PMT(F176/12, (OperatingAssumptions!$T16*12) - A175, E175)</f>
        <v>2695.3769275374461</v>
      </c>
      <c r="C176">
        <f>ROUND(E175*F176/12, 2)</f>
        <v>709.71</v>
      </c>
      <c r="D176" s="6">
        <f>B176-C176</f>
        <v>1985.6669275374461</v>
      </c>
      <c r="E176" s="6">
        <f>E175-D176</f>
        <v>160233.22183898234</v>
      </c>
      <c r="F176">
        <f>OperatingAssumptions!$T14</f>
        <v>5.2499999999999998E-2</v>
      </c>
    </row>
    <row r="177" spans="1:6" x14ac:dyDescent="0.25">
      <c r="A177">
        <v>172</v>
      </c>
      <c r="B177" s="6">
        <f>-PMT(F177/12, (OperatingAssumptions!$T16*12) - A176, E176)</f>
        <v>2695.376967264086</v>
      </c>
      <c r="C177">
        <f>ROUND(E176*F177/12, 2)</f>
        <v>701.02</v>
      </c>
      <c r="D177" s="6">
        <f>B177-C177</f>
        <v>1994.3569672640861</v>
      </c>
      <c r="E177" s="6">
        <f>E176-D177</f>
        <v>158238.86487171825</v>
      </c>
      <c r="F177">
        <f>OperatingAssumptions!$T14</f>
        <v>5.2499999999999998E-2</v>
      </c>
    </row>
    <row r="178" spans="1:6" x14ac:dyDescent="0.25">
      <c r="A178">
        <v>173</v>
      </c>
      <c r="B178" s="6">
        <f>-PMT(F178/12, (OperatingAssumptions!$T16*12) - A177, E177)</f>
        <v>2695.3769613782019</v>
      </c>
      <c r="C178">
        <f>ROUND(E177*F178/12, 2)</f>
        <v>692.3</v>
      </c>
      <c r="D178" s="6">
        <f>B178-C178</f>
        <v>2003.076961378202</v>
      </c>
      <c r="E178" s="6">
        <f>E177-D178</f>
        <v>156235.78791034006</v>
      </c>
      <c r="F178">
        <f>OperatingAssumptions!$T14</f>
        <v>5.2499999999999998E-2</v>
      </c>
    </row>
    <row r="179" spans="1:6" x14ac:dyDescent="0.25">
      <c r="A179">
        <v>174</v>
      </c>
      <c r="B179" s="6">
        <f>-PMT(F179/12, (OperatingAssumptions!$T16*12) - A178, E178)</f>
        <v>2695.3770470547602</v>
      </c>
      <c r="C179">
        <f>ROUND(E178*F179/12, 2)</f>
        <v>683.53</v>
      </c>
      <c r="D179" s="6">
        <f>B179-C179</f>
        <v>2011.8470470547602</v>
      </c>
      <c r="E179" s="6">
        <f>E178-D179</f>
        <v>154223.9408632853</v>
      </c>
      <c r="F179">
        <f>OperatingAssumptions!$T14</f>
        <v>5.2499999999999998E-2</v>
      </c>
    </row>
    <row r="180" spans="1:6" x14ac:dyDescent="0.25">
      <c r="A180">
        <v>175</v>
      </c>
      <c r="B180" s="6">
        <f>-PMT(F180/12, (OperatingAssumptions!$T16*12) - A179, E179)</f>
        <v>2695.3770195789793</v>
      </c>
      <c r="C180">
        <f>ROUND(E179*F180/12, 2)</f>
        <v>674.73</v>
      </c>
      <c r="D180" s="6">
        <f>B180-C180</f>
        <v>2020.6470195789793</v>
      </c>
      <c r="E180" s="6">
        <f>E179-D180</f>
        <v>152203.29384370631</v>
      </c>
      <c r="F180">
        <f>OperatingAssumptions!$T14</f>
        <v>5.2499999999999998E-2</v>
      </c>
    </row>
    <row r="181" spans="1:6" x14ac:dyDescent="0.25">
      <c r="A181">
        <v>176</v>
      </c>
      <c r="B181" s="6">
        <f>-PMT(F181/12, (OperatingAssumptions!$T16*12) - A180, E180)</f>
        <v>2695.3770241607222</v>
      </c>
      <c r="C181">
        <f>ROUND(E180*F181/12, 2)</f>
        <v>665.89</v>
      </c>
      <c r="D181" s="6">
        <f>B181-C181</f>
        <v>2029.4870241607223</v>
      </c>
      <c r="E181" s="6">
        <f>E180-D181</f>
        <v>150173.8068195456</v>
      </c>
      <c r="F181">
        <f>OperatingAssumptions!$T14</f>
        <v>5.2499999999999998E-2</v>
      </c>
    </row>
    <row r="182" spans="1:6" x14ac:dyDescent="0.25">
      <c r="A182">
        <v>177</v>
      </c>
      <c r="B182" s="6">
        <f>-PMT(F182/12, (OperatingAssumptions!$T16*12) - A181, E181)</f>
        <v>2695.3770347401055</v>
      </c>
      <c r="C182">
        <f>ROUND(E181*F182/12, 2)</f>
        <v>657.01</v>
      </c>
      <c r="D182" s="6">
        <f>B182-C182</f>
        <v>2038.3670347401055</v>
      </c>
      <c r="E182" s="6">
        <f>E181-D182</f>
        <v>148135.43978480549</v>
      </c>
      <c r="F182">
        <f>OperatingAssumptions!$T14</f>
        <v>5.2499999999999998E-2</v>
      </c>
    </row>
    <row r="183" spans="1:6" x14ac:dyDescent="0.25">
      <c r="A183">
        <v>178</v>
      </c>
      <c r="B183" s="6">
        <f>-PMT(F183/12, (OperatingAssumptions!$T16*12) - A182, E182)</f>
        <v>2695.3770273739792</v>
      </c>
      <c r="C183">
        <f>ROUND(E182*F183/12, 2)</f>
        <v>648.09</v>
      </c>
      <c r="D183" s="6">
        <f>B183-C183</f>
        <v>2047.2870273739791</v>
      </c>
      <c r="E183" s="6">
        <f>E182-D183</f>
        <v>146088.15275743153</v>
      </c>
      <c r="F183">
        <f>OperatingAssumptions!$T14</f>
        <v>5.2499999999999998E-2</v>
      </c>
    </row>
    <row r="184" spans="1:6" x14ac:dyDescent="0.25">
      <c r="A184">
        <v>179</v>
      </c>
      <c r="B184" s="6">
        <f>-PMT(F184/12, (OperatingAssumptions!$T16*12) - A183, E183)</f>
        <v>2695.3769803429682</v>
      </c>
      <c r="C184">
        <f>ROUND(E183*F184/12, 2)</f>
        <v>639.14</v>
      </c>
      <c r="D184" s="6">
        <f>B184-C184</f>
        <v>2056.2369803429683</v>
      </c>
      <c r="E184" s="6">
        <f>E183-D184</f>
        <v>144031.91577708855</v>
      </c>
      <c r="F184">
        <f>OperatingAssumptions!$T14</f>
        <v>5.2499999999999998E-2</v>
      </c>
    </row>
    <row r="185" spans="1:6" x14ac:dyDescent="0.25">
      <c r="A185">
        <v>180</v>
      </c>
      <c r="B185" s="6">
        <f>-PMT(F185/12, (OperatingAssumptions!$T16*12) - A184, E184)</f>
        <v>2695.377061405055</v>
      </c>
      <c r="C185">
        <f>ROUND(E184*F185/12, 2)</f>
        <v>630.14</v>
      </c>
      <c r="D185" s="6">
        <f>B185-C185</f>
        <v>2065.2370614050551</v>
      </c>
      <c r="E185" s="6">
        <f>E184-D185</f>
        <v>141966.67871568349</v>
      </c>
      <c r="F185">
        <f>OperatingAssumptions!$T14</f>
        <v>5.2499999999999998E-2</v>
      </c>
    </row>
    <row r="186" spans="1:6" x14ac:dyDescent="0.25">
      <c r="A186">
        <v>181</v>
      </c>
      <c r="B186" s="6">
        <f>-PMT(F186/12, (OperatingAssumptions!$T16*12) - A185, E185)</f>
        <v>2695.3770684009201</v>
      </c>
      <c r="C186">
        <f>ROUND(E185*F186/12, 2)</f>
        <v>621.1</v>
      </c>
      <c r="D186" s="6">
        <f>B186-C186</f>
        <v>2074.2770684009201</v>
      </c>
      <c r="E186" s="6">
        <f>E185-D186</f>
        <v>139892.40164728256</v>
      </c>
      <c r="F186">
        <f>OperatingAssumptions!$T14</f>
        <v>5.2499999999999998E-2</v>
      </c>
    </row>
    <row r="187" spans="1:6" x14ac:dyDescent="0.25">
      <c r="A187">
        <v>182</v>
      </c>
      <c r="B187" s="6">
        <f>-PMT(F187/12, (OperatingAssumptions!$T16*12) - A186, E186)</f>
        <v>2695.3769871039899</v>
      </c>
      <c r="C187">
        <f>ROUND(E186*F187/12, 2)</f>
        <v>612.03</v>
      </c>
      <c r="D187" s="6">
        <f>B187-C187</f>
        <v>2083.3469871039897</v>
      </c>
      <c r="E187" s="6">
        <f>E186-D187</f>
        <v>137809.05466017858</v>
      </c>
      <c r="F187">
        <f>OperatingAssumptions!$T14</f>
        <v>5.2499999999999998E-2</v>
      </c>
    </row>
    <row r="188" spans="1:6" x14ac:dyDescent="0.25">
      <c r="A188">
        <v>183</v>
      </c>
      <c r="B188" s="6">
        <f>-PMT(F188/12, (OperatingAssumptions!$T16*12) - A187, E187)</f>
        <v>2695.3770016321168</v>
      </c>
      <c r="C188">
        <f>ROUND(E187*F188/12, 2)</f>
        <v>602.91</v>
      </c>
      <c r="D188" s="6">
        <f>B188-C188</f>
        <v>2092.467001632117</v>
      </c>
      <c r="E188" s="6">
        <f>E187-D188</f>
        <v>135716.58765854646</v>
      </c>
      <c r="F188">
        <f>OperatingAssumptions!$T14</f>
        <v>5.2499999999999998E-2</v>
      </c>
    </row>
    <row r="189" spans="1:6" x14ac:dyDescent="0.25">
      <c r="A189">
        <v>184</v>
      </c>
      <c r="B189" s="6">
        <f>-PMT(F189/12, (OperatingAssumptions!$T16*12) - A188, E188)</f>
        <v>2695.3769099937849</v>
      </c>
      <c r="C189">
        <f>ROUND(E188*F189/12, 2)</f>
        <v>593.76</v>
      </c>
      <c r="D189" s="6">
        <f>B189-C189</f>
        <v>2101.6169099937852</v>
      </c>
      <c r="E189" s="6">
        <f>E188-D189</f>
        <v>133614.97074855267</v>
      </c>
      <c r="F189">
        <f>OperatingAssumptions!$T14</f>
        <v>5.2499999999999998E-2</v>
      </c>
    </row>
    <row r="190" spans="1:6" x14ac:dyDescent="0.25">
      <c r="A190">
        <v>185</v>
      </c>
      <c r="B190" s="6">
        <f>-PMT(F190/12, (OperatingAssumptions!$T16*12) - A189, E189)</f>
        <v>2695.3769085613981</v>
      </c>
      <c r="C190">
        <f>ROUND(E189*F190/12, 2)</f>
        <v>584.57000000000005</v>
      </c>
      <c r="D190" s="6">
        <f>B190-C190</f>
        <v>2110.8069085613979</v>
      </c>
      <c r="E190" s="6">
        <f>E189-D190</f>
        <v>131504.16383999126</v>
      </c>
      <c r="F190">
        <f>OperatingAssumptions!$T14</f>
        <v>5.2499999999999998E-2</v>
      </c>
    </row>
    <row r="191" spans="1:6" x14ac:dyDescent="0.25">
      <c r="A191">
        <v>186</v>
      </c>
      <c r="B191" s="6">
        <f>-PMT(F191/12, (OperatingAssumptions!$T16*12) - A190, E190)</f>
        <v>2695.3770008566921</v>
      </c>
      <c r="C191">
        <f>ROUND(E190*F191/12, 2)</f>
        <v>575.33000000000004</v>
      </c>
      <c r="D191" s="6">
        <f>B191-C191</f>
        <v>2120.0470008566922</v>
      </c>
      <c r="E191" s="6">
        <f>E190-D191</f>
        <v>129384.11683913457</v>
      </c>
      <c r="F191">
        <f>OperatingAssumptions!$T14</f>
        <v>5.2499999999999998E-2</v>
      </c>
    </row>
    <row r="192" spans="1:6" x14ac:dyDescent="0.25">
      <c r="A192">
        <v>187</v>
      </c>
      <c r="B192" s="6">
        <f>-PMT(F192/12, (OperatingAssumptions!$T16*12) - A191, E191)</f>
        <v>2695.3769859240551</v>
      </c>
      <c r="C192">
        <f>ROUND(E191*F192/12, 2)</f>
        <v>566.05999999999995</v>
      </c>
      <c r="D192" s="6">
        <f>B192-C192</f>
        <v>2129.3169859240552</v>
      </c>
      <c r="E192" s="6">
        <f>E191-D192</f>
        <v>127254.79985321051</v>
      </c>
      <c r="F192">
        <f>OperatingAssumptions!$T14</f>
        <v>5.2499999999999998E-2</v>
      </c>
    </row>
    <row r="193" spans="1:6" x14ac:dyDescent="0.25">
      <c r="A193">
        <v>188</v>
      </c>
      <c r="B193" s="6">
        <f>-PMT(F193/12, (OperatingAssumptions!$T16*12) - A192, E192)</f>
        <v>2695.3770810016963</v>
      </c>
      <c r="C193">
        <f>ROUND(E192*F193/12, 2)</f>
        <v>556.74</v>
      </c>
      <c r="D193" s="6">
        <f>B193-C193</f>
        <v>2138.6370810016961</v>
      </c>
      <c r="E193" s="6">
        <f>E192-D193</f>
        <v>125116.16277220882</v>
      </c>
      <c r="F193">
        <f>OperatingAssumptions!$T14</f>
        <v>5.2499999999999998E-2</v>
      </c>
    </row>
    <row r="194" spans="1:6" x14ac:dyDescent="0.25">
      <c r="A194">
        <v>189</v>
      </c>
      <c r="B194" s="6">
        <f>-PMT(F194/12, (OperatingAssumptions!$T16*12) - A193, E193)</f>
        <v>2695.3770864012804</v>
      </c>
      <c r="C194">
        <f>ROUND(E193*F194/12, 2)</f>
        <v>547.38</v>
      </c>
      <c r="D194" s="6">
        <f>B194-C194</f>
        <v>2147.9970864012803</v>
      </c>
      <c r="E194" s="6">
        <f>E193-D194</f>
        <v>122968.16568580753</v>
      </c>
      <c r="F194">
        <f>OperatingAssumptions!$T14</f>
        <v>5.2499999999999998E-2</v>
      </c>
    </row>
    <row r="195" spans="1:6" x14ac:dyDescent="0.25">
      <c r="A195">
        <v>190</v>
      </c>
      <c r="B195" s="6">
        <f>-PMT(F195/12, (OperatingAssumptions!$T16*12) - A194, E194)</f>
        <v>2695.3770159936503</v>
      </c>
      <c r="C195">
        <f>ROUND(E194*F195/12, 2)</f>
        <v>537.99</v>
      </c>
      <c r="D195" s="6">
        <f>B195-C195</f>
        <v>2157.3870159936505</v>
      </c>
      <c r="E195" s="6">
        <f>E194-D195</f>
        <v>120810.77866981388</v>
      </c>
      <c r="F195">
        <f>OperatingAssumptions!$T14</f>
        <v>5.2499999999999998E-2</v>
      </c>
    </row>
    <row r="196" spans="1:6" x14ac:dyDescent="0.25">
      <c r="A196">
        <v>191</v>
      </c>
      <c r="B196" s="6">
        <f>-PMT(F196/12, (OperatingAssumptions!$T16*12) - A195, E195)</f>
        <v>2695.3771113748166</v>
      </c>
      <c r="C196">
        <f>ROUND(E195*F196/12, 2)</f>
        <v>528.54999999999995</v>
      </c>
      <c r="D196" s="6">
        <f>B196-C196</f>
        <v>2166.8271113748169</v>
      </c>
      <c r="E196" s="6">
        <f>E195-D196</f>
        <v>118643.95155843906</v>
      </c>
      <c r="F196">
        <f>OperatingAssumptions!$T14</f>
        <v>5.2499999999999998E-2</v>
      </c>
    </row>
    <row r="197" spans="1:6" x14ac:dyDescent="0.25">
      <c r="A197">
        <v>192</v>
      </c>
      <c r="B197" s="6">
        <f>-PMT(F197/12, (OperatingAssumptions!$T16*12) - A196, E196)</f>
        <v>2695.377175969923</v>
      </c>
      <c r="C197">
        <f>ROUND(E196*F197/12, 2)</f>
        <v>519.07000000000005</v>
      </c>
      <c r="D197" s="6">
        <f>B197-C197</f>
        <v>2176.3071759699228</v>
      </c>
      <c r="E197" s="6">
        <f>E196-D197</f>
        <v>116467.64438246914</v>
      </c>
      <c r="F197">
        <f>OperatingAssumptions!$T14</f>
        <v>5.2499999999999998E-2</v>
      </c>
    </row>
    <row r="198" spans="1:6" x14ac:dyDescent="0.25">
      <c r="A198">
        <v>193</v>
      </c>
      <c r="B198" s="6">
        <f>-PMT(F198/12, (OperatingAssumptions!$T16*12) - A197, E197)</f>
        <v>2695.3772387313825</v>
      </c>
      <c r="C198">
        <f>ROUND(E197*F198/12, 2)</f>
        <v>509.55</v>
      </c>
      <c r="D198" s="6">
        <f>B198-C198</f>
        <v>2185.8272387313823</v>
      </c>
      <c r="E198" s="6">
        <f>E197-D198</f>
        <v>114281.81714373776</v>
      </c>
      <c r="F198">
        <f>OperatingAssumptions!$T14</f>
        <v>5.2499999999999998E-2</v>
      </c>
    </row>
    <row r="199" spans="1:6" x14ac:dyDescent="0.25">
      <c r="A199">
        <v>194</v>
      </c>
      <c r="B199" s="6">
        <f>-PMT(F199/12, (OperatingAssumptions!$T16*12) - A198, E198)</f>
        <v>2695.3773343894982</v>
      </c>
      <c r="C199">
        <f>ROUND(E198*F199/12, 2)</f>
        <v>499.98</v>
      </c>
      <c r="D199" s="6">
        <f>B199-C199</f>
        <v>2195.3973343894982</v>
      </c>
      <c r="E199" s="6">
        <f>E198-D199</f>
        <v>112086.41980934826</v>
      </c>
      <c r="F199">
        <f>OperatingAssumptions!$T14</f>
        <v>5.2499999999999998E-2</v>
      </c>
    </row>
    <row r="200" spans="1:6" x14ac:dyDescent="0.25">
      <c r="A200">
        <v>195</v>
      </c>
      <c r="B200" s="6">
        <f>-PMT(F200/12, (OperatingAssumptions!$T16*12) - A199, E199)</f>
        <v>2695.3772634498314</v>
      </c>
      <c r="C200">
        <f>ROUND(E199*F200/12, 2)</f>
        <v>490.38</v>
      </c>
      <c r="D200" s="6">
        <f>B200-C200</f>
        <v>2204.9972634498313</v>
      </c>
      <c r="E200" s="6">
        <f>E199-D200</f>
        <v>109881.42254589843</v>
      </c>
      <c r="F200">
        <f>OperatingAssumptions!$T14</f>
        <v>5.2499999999999998E-2</v>
      </c>
    </row>
    <row r="201" spans="1:6" x14ac:dyDescent="0.25">
      <c r="A201">
        <v>196</v>
      </c>
      <c r="B201" s="6">
        <f>-PMT(F201/12, (OperatingAssumptions!$T16*12) - A200, E200)</f>
        <v>2695.3773103836734</v>
      </c>
      <c r="C201">
        <f>ROUND(E200*F201/12, 2)</f>
        <v>480.73</v>
      </c>
      <c r="D201" s="6">
        <f>B201-C201</f>
        <v>2214.6473103836734</v>
      </c>
      <c r="E201" s="6">
        <f>E200-D201</f>
        <v>107666.77523551475</v>
      </c>
      <c r="F201">
        <f>OperatingAssumptions!$T14</f>
        <v>5.2499999999999998E-2</v>
      </c>
    </row>
    <row r="202" spans="1:6" x14ac:dyDescent="0.25">
      <c r="A202">
        <v>197</v>
      </c>
      <c r="B202" s="6">
        <f>-PMT(F202/12, (OperatingAssumptions!$T16*12) - A201, E201)</f>
        <v>2695.3772797505753</v>
      </c>
      <c r="C202">
        <f>ROUND(E201*F202/12, 2)</f>
        <v>471.04</v>
      </c>
      <c r="D202" s="6">
        <f>B202-C202</f>
        <v>2224.3372797505754</v>
      </c>
      <c r="E202" s="6">
        <f>E201-D202</f>
        <v>105442.43795576418</v>
      </c>
      <c r="F202">
        <f>OperatingAssumptions!$T14</f>
        <v>5.2499999999999998E-2</v>
      </c>
    </row>
    <row r="203" spans="1:6" x14ac:dyDescent="0.25">
      <c r="A203">
        <v>198</v>
      </c>
      <c r="B203" s="6">
        <f>-PMT(F203/12, (OperatingAssumptions!$T16*12) - A202, E202)</f>
        <v>2695.3772250044103</v>
      </c>
      <c r="C203">
        <f>ROUND(E202*F203/12, 2)</f>
        <v>461.31</v>
      </c>
      <c r="D203" s="6">
        <f>B203-C203</f>
        <v>2234.0672250044104</v>
      </c>
      <c r="E203" s="6">
        <f>E202-D203</f>
        <v>103208.37073075977</v>
      </c>
      <c r="F203">
        <f>OperatingAssumptions!$T14</f>
        <v>5.2499999999999998E-2</v>
      </c>
    </row>
    <row r="204" spans="1:6" x14ac:dyDescent="0.25">
      <c r="A204">
        <v>199</v>
      </c>
      <c r="B204" s="6">
        <f>-PMT(F204/12, (OperatingAssumptions!$T16*12) - A203, E203)</f>
        <v>2695.3772076097607</v>
      </c>
      <c r="C204">
        <f>ROUND(E203*F204/12, 2)</f>
        <v>451.54</v>
      </c>
      <c r="D204" s="6">
        <f>B204-C204</f>
        <v>2243.8372076097608</v>
      </c>
      <c r="E204" s="6">
        <f>E203-D204</f>
        <v>100964.53352315001</v>
      </c>
      <c r="F204">
        <f>OperatingAssumptions!$T14</f>
        <v>5.2499999999999998E-2</v>
      </c>
    </row>
    <row r="205" spans="1:6" x14ac:dyDescent="0.25">
      <c r="A205">
        <v>200</v>
      </c>
      <c r="B205" s="6">
        <f>-PMT(F205/12, (OperatingAssumptions!$T16*12) - A204, E204)</f>
        <v>2695.3772977912022</v>
      </c>
      <c r="C205">
        <f>ROUND(E204*F205/12, 2)</f>
        <v>441.72</v>
      </c>
      <c r="D205" s="6">
        <f>B205-C205</f>
        <v>2253.6572977912019</v>
      </c>
      <c r="E205" s="6">
        <f>E204-D205</f>
        <v>98710.876225358807</v>
      </c>
      <c r="F205">
        <f>OperatingAssumptions!$T14</f>
        <v>5.2499999999999998E-2</v>
      </c>
    </row>
    <row r="206" spans="1:6" x14ac:dyDescent="0.25">
      <c r="A206">
        <v>201</v>
      </c>
      <c r="B206" s="6">
        <f>-PMT(F206/12, (OperatingAssumptions!$T16*12) - A205, E205)</f>
        <v>2695.3773023194894</v>
      </c>
      <c r="C206">
        <f>ROUND(E205*F206/12, 2)</f>
        <v>431.86</v>
      </c>
      <c r="D206" s="6">
        <f>B206-C206</f>
        <v>2263.5173023194893</v>
      </c>
      <c r="E206" s="6">
        <f>E205-D206</f>
        <v>96447.358923039312</v>
      </c>
      <c r="F206">
        <f>OperatingAssumptions!$T14</f>
        <v>5.2499999999999998E-2</v>
      </c>
    </row>
    <row r="207" spans="1:6" x14ac:dyDescent="0.25">
      <c r="A207">
        <v>202</v>
      </c>
      <c r="B207" s="6">
        <f>-PMT(F207/12, (OperatingAssumptions!$T16*12) - A206, E206)</f>
        <v>2695.3772999863395</v>
      </c>
      <c r="C207">
        <f>ROUND(E206*F207/12, 2)</f>
        <v>421.96</v>
      </c>
      <c r="D207" s="6">
        <f>B207-C207</f>
        <v>2273.4172999863395</v>
      </c>
      <c r="E207" s="6">
        <f>E206-D207</f>
        <v>94173.941623052975</v>
      </c>
      <c r="F207">
        <f>OperatingAssumptions!$T14</f>
        <v>5.2499999999999998E-2</v>
      </c>
    </row>
    <row r="208" spans="1:6" x14ac:dyDescent="0.25">
      <c r="A208">
        <v>203</v>
      </c>
      <c r="B208" s="6">
        <f>-PMT(F208/12, (OperatingAssumptions!$T16*12) - A207, E207)</f>
        <v>2695.3773802607375</v>
      </c>
      <c r="C208">
        <f>ROUND(E207*F208/12, 2)</f>
        <v>412.01</v>
      </c>
      <c r="D208" s="6">
        <f>B208-C208</f>
        <v>2283.3673802607373</v>
      </c>
      <c r="E208" s="6">
        <f>E207-D208</f>
        <v>91890.574242792238</v>
      </c>
      <c r="F208">
        <f>OperatingAssumptions!$T14</f>
        <v>5.2499999999999998E-2</v>
      </c>
    </row>
    <row r="209" spans="1:6" x14ac:dyDescent="0.25">
      <c r="A209">
        <v>204</v>
      </c>
      <c r="B209" s="6">
        <f>-PMT(F209/12, (OperatingAssumptions!$T16*12) - A208, E208)</f>
        <v>2695.3773510866399</v>
      </c>
      <c r="C209">
        <f>ROUND(E208*F209/12, 2)</f>
        <v>402.02</v>
      </c>
      <c r="D209" s="6">
        <f>B209-C209</f>
        <v>2293.3573510866399</v>
      </c>
      <c r="E209" s="6">
        <f>E208-D209</f>
        <v>89597.216891705597</v>
      </c>
      <c r="F209">
        <f>OperatingAssumptions!$T14</f>
        <v>5.2499999999999998E-2</v>
      </c>
    </row>
    <row r="210" spans="1:6" x14ac:dyDescent="0.25">
      <c r="A210">
        <v>205</v>
      </c>
      <c r="B210" s="6">
        <f>-PMT(F210/12, (OperatingAssumptions!$T16*12) - A209, E209)</f>
        <v>2695.3773131121598</v>
      </c>
      <c r="C210">
        <f>ROUND(E209*F210/12, 2)</f>
        <v>391.99</v>
      </c>
      <c r="D210" s="6">
        <f>B210-C210</f>
        <v>2303.38731311216</v>
      </c>
      <c r="E210" s="6">
        <f>E209-D210</f>
        <v>87293.829578593432</v>
      </c>
      <c r="F210">
        <f>OperatingAssumptions!$T14</f>
        <v>5.2499999999999998E-2</v>
      </c>
    </row>
    <row r="211" spans="1:6" x14ac:dyDescent="0.25">
      <c r="A211">
        <v>206</v>
      </c>
      <c r="B211" s="6">
        <f>-PMT(F211/12, (OperatingAssumptions!$T16*12) - A210, E210)</f>
        <v>2695.3773803037066</v>
      </c>
      <c r="C211">
        <f>ROUND(E210*F211/12, 2)</f>
        <v>381.91</v>
      </c>
      <c r="D211" s="6">
        <f>B211-C211</f>
        <v>2313.4673803037067</v>
      </c>
      <c r="E211" s="6">
        <f>E210-D211</f>
        <v>84980.362198289731</v>
      </c>
      <c r="F211">
        <f>OperatingAssumptions!$T14</f>
        <v>5.2499999999999998E-2</v>
      </c>
    </row>
    <row r="212" spans="1:6" x14ac:dyDescent="0.25">
      <c r="A212">
        <v>207</v>
      </c>
      <c r="B212" s="6">
        <f>-PMT(F212/12, (OperatingAssumptions!$T16*12) - A211, E211)</f>
        <v>2695.3773643051231</v>
      </c>
      <c r="C212">
        <f>ROUND(E211*F212/12, 2)</f>
        <v>371.79</v>
      </c>
      <c r="D212" s="6">
        <f>B212-C212</f>
        <v>2323.5873643051232</v>
      </c>
      <c r="E212" s="6">
        <f>E211-D212</f>
        <v>82656.774833984615</v>
      </c>
      <c r="F212">
        <f>OperatingAssumptions!$T14</f>
        <v>5.2499999999999998E-2</v>
      </c>
    </row>
    <row r="213" spans="1:6" x14ac:dyDescent="0.25">
      <c r="A213">
        <v>208</v>
      </c>
      <c r="B213" s="6">
        <f>-PMT(F213/12, (OperatingAssumptions!$T16*12) - A212, E212)</f>
        <v>2695.3773941550808</v>
      </c>
      <c r="C213">
        <f>ROUND(E212*F213/12, 2)</f>
        <v>361.62</v>
      </c>
      <c r="D213" s="6">
        <f>B213-C213</f>
        <v>2333.7573941550809</v>
      </c>
      <c r="E213" s="6">
        <f>E212-D213</f>
        <v>80323.017439829535</v>
      </c>
      <c r="F213">
        <f>OperatingAssumptions!$T14</f>
        <v>5.2499999999999998E-2</v>
      </c>
    </row>
    <row r="214" spans="1:6" x14ac:dyDescent="0.25">
      <c r="A214">
        <v>209</v>
      </c>
      <c r="B214" s="6">
        <f>-PMT(F214/12, (OperatingAssumptions!$T16*12) - A213, E213)</f>
        <v>2695.3772804011883</v>
      </c>
      <c r="C214">
        <f>ROUND(E213*F214/12, 2)</f>
        <v>351.41</v>
      </c>
      <c r="D214" s="6">
        <f>B214-C214</f>
        <v>2343.9672804011884</v>
      </c>
      <c r="E214" s="6">
        <f>E213-D214</f>
        <v>77979.050159428341</v>
      </c>
      <c r="F214">
        <f>OperatingAssumptions!$T14</f>
        <v>5.2499999999999998E-2</v>
      </c>
    </row>
    <row r="215" spans="1:6" x14ac:dyDescent="0.25">
      <c r="A215">
        <v>210</v>
      </c>
      <c r="B215" s="6">
        <f>-PMT(F215/12, (OperatingAssumptions!$T16*12) - A214, E214)</f>
        <v>2695.3771697469947</v>
      </c>
      <c r="C215">
        <f>ROUND(E214*F215/12, 2)</f>
        <v>341.16</v>
      </c>
      <c r="D215" s="6">
        <f>B215-C215</f>
        <v>2354.2171697469948</v>
      </c>
      <c r="E215" s="6">
        <f>E214-D215</f>
        <v>75624.832989681352</v>
      </c>
      <c r="F215">
        <f>OperatingAssumptions!$T14</f>
        <v>5.2499999999999998E-2</v>
      </c>
    </row>
    <row r="216" spans="1:6" x14ac:dyDescent="0.25">
      <c r="A216">
        <v>211</v>
      </c>
      <c r="B216" s="6">
        <f>-PMT(F216/12, (OperatingAssumptions!$T16*12) - A215, E215)</f>
        <v>2695.3772287532543</v>
      </c>
      <c r="C216">
        <f>ROUND(E215*F216/12, 2)</f>
        <v>330.86</v>
      </c>
      <c r="D216" s="6">
        <f>B216-C216</f>
        <v>2364.5172287532541</v>
      </c>
      <c r="E216" s="6">
        <f>E215-D216</f>
        <v>73260.315760928104</v>
      </c>
      <c r="F216">
        <f>OperatingAssumptions!$T14</f>
        <v>5.2499999999999998E-2</v>
      </c>
    </row>
    <row r="217" spans="1:6" x14ac:dyDescent="0.25">
      <c r="A217">
        <v>212</v>
      </c>
      <c r="B217" s="6">
        <f>-PMT(F217/12, (OperatingAssumptions!$T16*12) - A216, E216)</f>
        <v>2695.3772786307695</v>
      </c>
      <c r="C217">
        <f>ROUND(E216*F217/12, 2)</f>
        <v>320.51</v>
      </c>
      <c r="D217" s="6">
        <f>B217-C217</f>
        <v>2374.8672786307698</v>
      </c>
      <c r="E217" s="6">
        <f>E216-D217</f>
        <v>70885.448482297332</v>
      </c>
      <c r="F217">
        <f>OperatingAssumptions!$T14</f>
        <v>5.2499999999999998E-2</v>
      </c>
    </row>
    <row r="218" spans="1:6" x14ac:dyDescent="0.25">
      <c r="A218">
        <v>213</v>
      </c>
      <c r="B218" s="6">
        <f>-PMT(F218/12, (OperatingAssumptions!$T16*12) - A217, E217)</f>
        <v>2695.377131040781</v>
      </c>
      <c r="C218">
        <f>ROUND(E217*F218/12, 2)</f>
        <v>310.12</v>
      </c>
      <c r="D218" s="6">
        <f>B218-C218</f>
        <v>2385.2571310407811</v>
      </c>
      <c r="E218" s="6">
        <f>E217-D218</f>
        <v>68500.191351256552</v>
      </c>
      <c r="F218">
        <f>OperatingAssumptions!$T14</f>
        <v>5.2499999999999998E-2</v>
      </c>
    </row>
    <row r="219" spans="1:6" x14ac:dyDescent="0.25">
      <c r="A219">
        <v>214</v>
      </c>
      <c r="B219" s="6">
        <f>-PMT(F219/12, (OperatingAssumptions!$T16*12) - A218, E218)</f>
        <v>2695.3769800564132</v>
      </c>
      <c r="C219">
        <f>ROUND(E218*F219/12, 2)</f>
        <v>299.69</v>
      </c>
      <c r="D219" s="6">
        <f>B219-C219</f>
        <v>2395.6869800564132</v>
      </c>
      <c r="E219" s="6">
        <f>E218-D219</f>
        <v>66104.504371200135</v>
      </c>
      <c r="F219">
        <f>OperatingAssumptions!$T14</f>
        <v>5.2499999999999998E-2</v>
      </c>
    </row>
    <row r="220" spans="1:6" x14ac:dyDescent="0.25">
      <c r="A220">
        <v>215</v>
      </c>
      <c r="B220" s="6">
        <f>-PMT(F220/12, (OperatingAssumptions!$T16*12) - A219, E219)</f>
        <v>2695.3770478577849</v>
      </c>
      <c r="C220">
        <f>ROUND(E219*F220/12, 2)</f>
        <v>289.20999999999998</v>
      </c>
      <c r="D220" s="6">
        <f>B220-C220</f>
        <v>2406.1670478577848</v>
      </c>
      <c r="E220" s="6">
        <f>E219-D220</f>
        <v>63698.337323342348</v>
      </c>
      <c r="F220">
        <f>OperatingAssumptions!$T14</f>
        <v>5.2499999999999998E-2</v>
      </c>
    </row>
    <row r="221" spans="1:6" x14ac:dyDescent="0.25">
      <c r="A221">
        <v>216</v>
      </c>
      <c r="B221" s="6">
        <f>-PMT(F221/12, (OperatingAssumptions!$T16*12) - A220, E220)</f>
        <v>2695.3771660587017</v>
      </c>
      <c r="C221">
        <f>ROUND(E220*F221/12, 2)</f>
        <v>278.68</v>
      </c>
      <c r="D221" s="6">
        <f>B221-C221</f>
        <v>2416.6971660587019</v>
      </c>
      <c r="E221" s="6">
        <f>E220-D221</f>
        <v>61281.640157283648</v>
      </c>
      <c r="F221">
        <f>OperatingAssumptions!$T14</f>
        <v>5.2499999999999998E-2</v>
      </c>
    </row>
    <row r="222" spans="1:6" x14ac:dyDescent="0.25">
      <c r="A222">
        <v>217</v>
      </c>
      <c r="B222" s="6">
        <f>-PMT(F222/12, (OperatingAssumptions!$T16*12) - A221, E221)</f>
        <v>2695.3771561276981</v>
      </c>
      <c r="C222">
        <f>ROUND(E221*F222/12, 2)</f>
        <v>268.11</v>
      </c>
      <c r="D222" s="6">
        <f>B222-C222</f>
        <v>2427.2671561276979</v>
      </c>
      <c r="E222" s="6">
        <f>E221-D222</f>
        <v>58854.373001155953</v>
      </c>
      <c r="F222">
        <f>OperatingAssumptions!$T14</f>
        <v>5.2499999999999998E-2</v>
      </c>
    </row>
    <row r="223" spans="1:6" x14ac:dyDescent="0.25">
      <c r="A223">
        <v>218</v>
      </c>
      <c r="B223" s="6">
        <f>-PMT(F223/12, (OperatingAssumptions!$T16*12) - A222, E222)</f>
        <v>2695.3772854738409</v>
      </c>
      <c r="C223">
        <f>ROUND(E222*F223/12, 2)</f>
        <v>257.49</v>
      </c>
      <c r="D223" s="6">
        <f>B223-C223</f>
        <v>2437.8872854738411</v>
      </c>
      <c r="E223" s="6">
        <f>E222-D223</f>
        <v>56416.485715682109</v>
      </c>
      <c r="F223">
        <f>OperatingAssumptions!$T14</f>
        <v>5.2499999999999998E-2</v>
      </c>
    </row>
    <row r="224" spans="1:6" x14ac:dyDescent="0.25">
      <c r="A224">
        <v>219</v>
      </c>
      <c r="B224" s="6">
        <f>-PMT(F224/12, (OperatingAssumptions!$T16*12) - A223, E223)</f>
        <v>2695.3773866700162</v>
      </c>
      <c r="C224">
        <f>ROUND(E223*F224/12, 2)</f>
        <v>246.82</v>
      </c>
      <c r="D224" s="6">
        <f>B224-C224</f>
        <v>2448.5573866700161</v>
      </c>
      <c r="E224" s="6">
        <f>E223-D224</f>
        <v>53967.928329012095</v>
      </c>
      <c r="F224">
        <f>OperatingAssumptions!$T14</f>
        <v>5.2499999999999998E-2</v>
      </c>
    </row>
    <row r="225" spans="1:6" x14ac:dyDescent="0.25">
      <c r="A225">
        <v>220</v>
      </c>
      <c r="B225" s="6">
        <f>-PMT(F225/12, (OperatingAssumptions!$T16*12) - A224, E224)</f>
        <v>2695.3772805385897</v>
      </c>
      <c r="C225">
        <f>ROUND(E224*F225/12, 2)</f>
        <v>236.11</v>
      </c>
      <c r="D225" s="6">
        <f>B225-C225</f>
        <v>2459.2672805385896</v>
      </c>
      <c r="E225" s="6">
        <f>E224-D225</f>
        <v>51508.661048473507</v>
      </c>
      <c r="F225">
        <f>OperatingAssumptions!$T14</f>
        <v>5.2499999999999998E-2</v>
      </c>
    </row>
    <row r="226" spans="1:6" x14ac:dyDescent="0.25">
      <c r="A226">
        <v>221</v>
      </c>
      <c r="B226" s="6">
        <f>-PMT(F226/12, (OperatingAssumptions!$T16*12) - A225, E225)</f>
        <v>2695.3772969467832</v>
      </c>
      <c r="C226">
        <f>ROUND(E225*F226/12, 2)</f>
        <v>225.35</v>
      </c>
      <c r="D226" s="6">
        <f>B226-C226</f>
        <v>2470.0272969467833</v>
      </c>
      <c r="E226" s="6">
        <f>E225-D226</f>
        <v>49038.633751526722</v>
      </c>
      <c r="F226">
        <f>OperatingAssumptions!$T14</f>
        <v>5.2499999999999998E-2</v>
      </c>
    </row>
    <row r="227" spans="1:6" x14ac:dyDescent="0.25">
      <c r="A227">
        <v>222</v>
      </c>
      <c r="B227" s="6">
        <f>-PMT(F227/12, (OperatingAssumptions!$T16*12) - A226, E226)</f>
        <v>2695.377275395967</v>
      </c>
      <c r="C227">
        <f>ROUND(E226*F227/12, 2)</f>
        <v>214.54</v>
      </c>
      <c r="D227" s="6">
        <f>B227-C227</f>
        <v>2480.837275395967</v>
      </c>
      <c r="E227" s="6">
        <f>E226-D227</f>
        <v>46557.796476130752</v>
      </c>
      <c r="F227">
        <f>OperatingAssumptions!$T14</f>
        <v>5.2499999999999998E-2</v>
      </c>
    </row>
    <row r="228" spans="1:6" x14ac:dyDescent="0.25">
      <c r="A228">
        <v>223</v>
      </c>
      <c r="B228" s="6">
        <f>-PMT(F228/12, (OperatingAssumptions!$T16*12) - A227, E227)</f>
        <v>2695.3770425113776</v>
      </c>
      <c r="C228">
        <f>ROUND(E227*F228/12, 2)</f>
        <v>203.69</v>
      </c>
      <c r="D228" s="6">
        <f>B228-C228</f>
        <v>2491.6870425113775</v>
      </c>
      <c r="E228" s="6">
        <f>E227-D228</f>
        <v>44066.109433619378</v>
      </c>
      <c r="F228">
        <f>OperatingAssumptions!$T14</f>
        <v>5.2499999999999998E-2</v>
      </c>
    </row>
    <row r="229" spans="1:6" x14ac:dyDescent="0.25">
      <c r="A229">
        <v>224</v>
      </c>
      <c r="B229" s="6">
        <f>-PMT(F229/12, (OperatingAssumptions!$T16*12) - A228, E228)</f>
        <v>2695.3770205168798</v>
      </c>
      <c r="C229">
        <f>ROUND(E228*F229/12, 2)</f>
        <v>192.79</v>
      </c>
      <c r="D229" s="6">
        <f>B229-C229</f>
        <v>2502.5870205168799</v>
      </c>
      <c r="E229" s="6">
        <f>E228-D229</f>
        <v>41563.522413102495</v>
      </c>
      <c r="F229">
        <f>OperatingAssumptions!$T14</f>
        <v>5.2499999999999998E-2</v>
      </c>
    </row>
    <row r="230" spans="1:6" x14ac:dyDescent="0.25">
      <c r="A230">
        <v>225</v>
      </c>
      <c r="B230" s="6">
        <f>-PMT(F230/12, (OperatingAssumptions!$T16*12) - A229, E229)</f>
        <v>2695.3770705306879</v>
      </c>
      <c r="C230">
        <f>ROUND(E229*F230/12, 2)</f>
        <v>181.84</v>
      </c>
      <c r="D230" s="6">
        <f>B230-C230</f>
        <v>2513.5370705306877</v>
      </c>
      <c r="E230" s="6">
        <f>E229-D230</f>
        <v>39049.98534257181</v>
      </c>
      <c r="F230">
        <f>OperatingAssumptions!$T14</f>
        <v>5.2499999999999998E-2</v>
      </c>
    </row>
    <row r="231" spans="1:6" x14ac:dyDescent="0.25">
      <c r="A231">
        <v>226</v>
      </c>
      <c r="B231" s="6">
        <f>-PMT(F231/12, (OperatingAssumptions!$T16*12) - A230, E230)</f>
        <v>2695.377042192476</v>
      </c>
      <c r="C231">
        <f>ROUND(E230*F231/12, 2)</f>
        <v>170.84</v>
      </c>
      <c r="D231" s="6">
        <f>B231-C231</f>
        <v>2524.5370421924758</v>
      </c>
      <c r="E231" s="6">
        <f>E230-D231</f>
        <v>36525.448300379336</v>
      </c>
      <c r="F231">
        <f>OperatingAssumptions!$T14</f>
        <v>5.2499999999999998E-2</v>
      </c>
    </row>
    <row r="232" spans="1:6" x14ac:dyDescent="0.25">
      <c r="A232">
        <v>227</v>
      </c>
      <c r="B232" s="6">
        <f>-PMT(F232/12, (OperatingAssumptions!$T16*12) - A231, E231)</f>
        <v>2695.3767701953075</v>
      </c>
      <c r="C232">
        <f>ROUND(E231*F232/12, 2)</f>
        <v>159.80000000000001</v>
      </c>
      <c r="D232" s="6">
        <f>B232-C232</f>
        <v>2535.5767701953073</v>
      </c>
      <c r="E232" s="6">
        <f>E231-D232</f>
        <v>33989.871530184028</v>
      </c>
      <c r="F232">
        <f>OperatingAssumptions!$T14</f>
        <v>5.2499999999999998E-2</v>
      </c>
    </row>
    <row r="233" spans="1:6" x14ac:dyDescent="0.25">
      <c r="A233">
        <v>228</v>
      </c>
      <c r="B233" s="6">
        <f>-PMT(F233/12, (OperatingAssumptions!$T16*12) - A232, E232)</f>
        <v>2695.3768624749118</v>
      </c>
      <c r="C233">
        <f>ROUND(E232*F233/12, 2)</f>
        <v>148.71</v>
      </c>
      <c r="D233" s="6">
        <f>B233-C233</f>
        <v>2546.6668624749118</v>
      </c>
      <c r="E233" s="6">
        <f>E232-D233</f>
        <v>31443.204667709117</v>
      </c>
      <c r="F233">
        <f>OperatingAssumptions!$T14</f>
        <v>5.2499999999999998E-2</v>
      </c>
    </row>
    <row r="234" spans="1:6" x14ac:dyDescent="0.25">
      <c r="A234">
        <v>229</v>
      </c>
      <c r="B234" s="6">
        <f>-PMT(F234/12, (OperatingAssumptions!$T16*12) - A233, E233)</f>
        <v>2695.3772321133188</v>
      </c>
      <c r="C234">
        <f>ROUND(E233*F234/12, 2)</f>
        <v>137.56</v>
      </c>
      <c r="D234" s="6">
        <f>B234-C234</f>
        <v>2557.8172321133188</v>
      </c>
      <c r="E234" s="6">
        <f>E233-D234</f>
        <v>28885.387435595796</v>
      </c>
      <c r="F234">
        <f>OperatingAssumptions!$T14</f>
        <v>5.2499999999999998E-2</v>
      </c>
    </row>
    <row r="235" spans="1:6" x14ac:dyDescent="0.25">
      <c r="A235">
        <v>230</v>
      </c>
      <c r="B235" s="6">
        <f>-PMT(F235/12, (OperatingAssumptions!$T16*12) - A234, E234)</f>
        <v>2695.3768569564909</v>
      </c>
      <c r="C235">
        <f>ROUND(E234*F235/12, 2)</f>
        <v>126.37</v>
      </c>
      <c r="D235" s="6">
        <f>B235-C235</f>
        <v>2569.006856956491</v>
      </c>
      <c r="E235" s="6">
        <f>E234-D235</f>
        <v>26316.380578639306</v>
      </c>
      <c r="F235">
        <f>OperatingAssumptions!$T14</f>
        <v>5.2499999999999998E-2</v>
      </c>
    </row>
    <row r="236" spans="1:6" x14ac:dyDescent="0.25">
      <c r="A236">
        <v>231</v>
      </c>
      <c r="B236" s="6">
        <f>-PMT(F236/12, (OperatingAssumptions!$T16*12) - A235, E235)</f>
        <v>2695.3764913067812</v>
      </c>
      <c r="C236">
        <f>ROUND(E235*F236/12, 2)</f>
        <v>115.13</v>
      </c>
      <c r="D236" s="6">
        <f>B236-C236</f>
        <v>2580.2464913067811</v>
      </c>
      <c r="E236" s="6">
        <f>E235-D236</f>
        <v>23736.134087332524</v>
      </c>
      <c r="F236">
        <f>OperatingAssumptions!$T14</f>
        <v>5.2499999999999998E-2</v>
      </c>
    </row>
    <row r="237" spans="1:6" x14ac:dyDescent="0.25">
      <c r="A237">
        <v>232</v>
      </c>
      <c r="B237" s="6">
        <f>-PMT(F237/12, (OperatingAssumptions!$T16*12) - A236, E236)</f>
        <v>2695.376018343235</v>
      </c>
      <c r="C237">
        <f>ROUND(E236*F237/12, 2)</f>
        <v>103.85</v>
      </c>
      <c r="D237" s="6">
        <f>B237-C237</f>
        <v>2591.5260183432351</v>
      </c>
      <c r="E237" s="6">
        <f>E236-D237</f>
        <v>21144.608068989288</v>
      </c>
      <c r="F237">
        <f>OperatingAssumptions!$T14</f>
        <v>5.2499999999999998E-2</v>
      </c>
    </row>
    <row r="238" spans="1:6" x14ac:dyDescent="0.25">
      <c r="A238">
        <v>233</v>
      </c>
      <c r="B238" s="6">
        <f>-PMT(F238/12, (OperatingAssumptions!$T16*12) - A237, E237)</f>
        <v>2695.3765809305623</v>
      </c>
      <c r="C238">
        <f>ROUND(E237*F238/12, 2)</f>
        <v>92.51</v>
      </c>
      <c r="D238" s="6">
        <f>B238-C238</f>
        <v>2602.8665809305621</v>
      </c>
      <c r="E238" s="6">
        <f>E237-D238</f>
        <v>18541.741488058724</v>
      </c>
      <c r="F238">
        <f>OperatingAssumptions!$T14</f>
        <v>5.2499999999999998E-2</v>
      </c>
    </row>
    <row r="239" spans="1:6" x14ac:dyDescent="0.25">
      <c r="A239">
        <v>234</v>
      </c>
      <c r="B239" s="6">
        <f>-PMT(F239/12, (OperatingAssumptions!$T16*12) - A238, E238)</f>
        <v>2695.3769210479377</v>
      </c>
      <c r="C239">
        <f>ROUND(E238*F239/12, 2)</f>
        <v>81.12</v>
      </c>
      <c r="D239" s="6">
        <f>B239-C239</f>
        <v>2614.2569210479378</v>
      </c>
      <c r="E239" s="6">
        <f>E238-D239</f>
        <v>15927.484567010786</v>
      </c>
      <c r="F239">
        <f>OperatingAssumptions!$T14</f>
        <v>5.2499999999999998E-2</v>
      </c>
    </row>
    <row r="240" spans="1:6" x14ac:dyDescent="0.25">
      <c r="A240">
        <v>235</v>
      </c>
      <c r="B240" s="6">
        <f>-PMT(F240/12, (OperatingAssumptions!$T16*12) - A239, E239)</f>
        <v>2695.3769009080656</v>
      </c>
      <c r="C240">
        <f>ROUND(E239*F240/12, 2)</f>
        <v>69.680000000000007</v>
      </c>
      <c r="D240" s="6">
        <f>B240-C240</f>
        <v>2625.6969009080658</v>
      </c>
      <c r="E240" s="6">
        <f>E239-D240</f>
        <v>13301.78766610272</v>
      </c>
      <c r="F240">
        <f>OperatingAssumptions!$T14</f>
        <v>5.2499999999999998E-2</v>
      </c>
    </row>
    <row r="241" spans="1:6" x14ac:dyDescent="0.25">
      <c r="A241">
        <v>236</v>
      </c>
      <c r="B241" s="6">
        <f>-PMT(F241/12, (OperatingAssumptions!$T16*12) - A240, E240)</f>
        <v>2695.3763446853868</v>
      </c>
      <c r="C241">
        <f>ROUND(E240*F241/12, 2)</f>
        <v>58.2</v>
      </c>
      <c r="D241" s="6">
        <f>B241-C241</f>
        <v>2637.176344685387</v>
      </c>
      <c r="E241" s="6">
        <f>E240-D241</f>
        <v>10664.611321417333</v>
      </c>
      <c r="F241">
        <f>OperatingAssumptions!$T14</f>
        <v>5.2499999999999998E-2</v>
      </c>
    </row>
    <row r="242" spans="1:6" x14ac:dyDescent="0.25">
      <c r="A242">
        <v>237</v>
      </c>
      <c r="B242" s="6">
        <f>-PMT(F242/12, (OperatingAssumptions!$T16*12) - A241, E241)</f>
        <v>2695.3775272475459</v>
      </c>
      <c r="C242">
        <f>ROUND(E241*F242/12, 2)</f>
        <v>46.66</v>
      </c>
      <c r="D242" s="6">
        <f>B242-C242</f>
        <v>2648.7175272475461</v>
      </c>
      <c r="E242" s="6">
        <f>E241-D242</f>
        <v>8015.8937941697868</v>
      </c>
      <c r="F242">
        <f>OperatingAssumptions!$T14</f>
        <v>5.2499999999999998E-2</v>
      </c>
    </row>
    <row r="243" spans="1:6" x14ac:dyDescent="0.25">
      <c r="A243">
        <v>238</v>
      </c>
      <c r="B243" s="6">
        <f>-PMT(F243/12, (OperatingAssumptions!$T16*12) - A242, E242)</f>
        <v>2695.3783091963005</v>
      </c>
      <c r="C243">
        <f>ROUND(E242*F243/12, 2)</f>
        <v>35.07</v>
      </c>
      <c r="D243" s="6">
        <f>B243-C243</f>
        <v>2660.3083091963003</v>
      </c>
      <c r="E243" s="6">
        <f>E242-D243</f>
        <v>5355.585484973486</v>
      </c>
      <c r="F243">
        <f>OperatingAssumptions!$T14</f>
        <v>5.2499999999999998E-2</v>
      </c>
    </row>
    <row r="244" spans="1:6" x14ac:dyDescent="0.25">
      <c r="A244">
        <v>239</v>
      </c>
      <c r="B244" s="6">
        <f>-PMT(F244/12, (OperatingAssumptions!$T16*12) - A243, E243)</f>
        <v>2695.3785430472976</v>
      </c>
      <c r="C244">
        <f>ROUND(E243*F244/12, 2)</f>
        <v>23.43</v>
      </c>
      <c r="D244" s="6">
        <f>B244-C244</f>
        <v>2671.9485430472978</v>
      </c>
      <c r="E244" s="6">
        <f>E243-D244</f>
        <v>2683.6369419261882</v>
      </c>
      <c r="F244">
        <f>OperatingAssumptions!$T14</f>
        <v>5.2499999999999998E-2</v>
      </c>
    </row>
    <row r="245" spans="1:6" x14ac:dyDescent="0.25">
      <c r="A245">
        <v>240</v>
      </c>
      <c r="B245" s="6">
        <f>-PMT(F245/12, (OperatingAssumptions!$T16*12) - A244, E244)</f>
        <v>2695.3778535471151</v>
      </c>
      <c r="C245">
        <f>ROUND(E244*F245/12, 2)</f>
        <v>11.74</v>
      </c>
      <c r="D245" s="6">
        <f>B245-C245</f>
        <v>2683.6378535471154</v>
      </c>
      <c r="E245" s="6">
        <f>E244-D245</f>
        <v>-9.1162092712693266E-4</v>
      </c>
      <c r="F245">
        <f>OperatingAssumptions!$T14</f>
        <v>5.2499999999999998E-2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6"/>
  <sheetViews>
    <sheetView workbookViewId="0"/>
  </sheetViews>
  <sheetFormatPr defaultRowHeight="15" x14ac:dyDescent="0.25"/>
  <sheetData>
    <row r="1" spans="1:16" x14ac:dyDescent="0.25">
      <c r="A1" t="s">
        <v>219</v>
      </c>
      <c r="E1" t="s">
        <v>104</v>
      </c>
    </row>
    <row r="2" spans="1:16" x14ac:dyDescent="0.25"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N2">
        <v>10</v>
      </c>
      <c r="O2">
        <v>11</v>
      </c>
      <c r="P2">
        <v>12</v>
      </c>
    </row>
    <row r="4" spans="1:16" x14ac:dyDescent="0.25">
      <c r="B4" t="s">
        <v>220</v>
      </c>
      <c r="E4">
        <f>total_income(E2, AllProductSales)</f>
        <v>160</v>
      </c>
      <c r="F4">
        <f>total_income(F2, AllProductSales)</f>
        <v>800</v>
      </c>
      <c r="G4">
        <f>total_income(G2, AllProductSales)</f>
        <v>1760</v>
      </c>
      <c r="H4">
        <f>total_income(H2, AllProductSales)</f>
        <v>3200</v>
      </c>
      <c r="I4">
        <f>total_income(I2, AllProductSales)</f>
        <v>4960</v>
      </c>
      <c r="J4">
        <f>total_income(J2, AllProductSales)</f>
        <v>7200</v>
      </c>
      <c r="K4">
        <f>total_income(K2, AllProductSales)</f>
        <v>9840</v>
      </c>
      <c r="L4">
        <f>total_income(L2, AllProductSales)</f>
        <v>12880</v>
      </c>
      <c r="M4">
        <f>total_income(M2, AllProductSales)</f>
        <v>16320</v>
      </c>
      <c r="N4">
        <f>total_income(N2, AllProductSales)</f>
        <v>20160</v>
      </c>
      <c r="O4">
        <f>total_income(O2, AllProductSales)</f>
        <v>24400</v>
      </c>
      <c r="P4">
        <f>total_income(P2, AllProductSales)</f>
        <v>29040</v>
      </c>
    </row>
    <row r="6" spans="1:16" x14ac:dyDescent="0.25">
      <c r="B6" t="s">
        <v>221</v>
      </c>
      <c r="E6">
        <f>total_cost(E2, AllProductCost)</f>
        <v>170</v>
      </c>
      <c r="F6">
        <f>total_cost(F2, AllProductCost)</f>
        <v>850</v>
      </c>
      <c r="G6">
        <f>total_cost(G2, AllProductCost)</f>
        <v>1870</v>
      </c>
      <c r="H6">
        <f>total_cost(H2, AllProductCost)</f>
        <v>3400</v>
      </c>
      <c r="I6">
        <f>total_cost(I2, AllProductCost)</f>
        <v>5270</v>
      </c>
      <c r="J6">
        <f>total_cost(J2, AllProductCost)</f>
        <v>7650</v>
      </c>
      <c r="K6">
        <f>total_cost(K2, AllProductCost)</f>
        <v>10412.48</v>
      </c>
      <c r="L6">
        <f>total_cost(L2, AllProductCost)</f>
        <v>13642.48</v>
      </c>
      <c r="M6">
        <f>total_cost(M2, AllProductCost)</f>
        <v>17255</v>
      </c>
      <c r="N6">
        <f>total_cost(N2, AllProductCost)</f>
        <v>21335</v>
      </c>
      <c r="O6">
        <f>total_cost(O2, AllProductCost)</f>
        <v>25797.52</v>
      </c>
      <c r="P6">
        <f>total_cost(P2, AllProductCost)</f>
        <v>30727.52</v>
      </c>
    </row>
    <row r="8" spans="1:16" x14ac:dyDescent="0.25">
      <c r="B8" t="s">
        <v>222</v>
      </c>
      <c r="E8">
        <f t="shared" ref="E8:P8" si="0">E4 - E6</f>
        <v>-10</v>
      </c>
      <c r="F8">
        <f t="shared" si="0"/>
        <v>-50</v>
      </c>
      <c r="G8">
        <f t="shared" si="0"/>
        <v>-110</v>
      </c>
      <c r="H8">
        <f t="shared" si="0"/>
        <v>-200</v>
      </c>
      <c r="I8">
        <f t="shared" si="0"/>
        <v>-310</v>
      </c>
      <c r="J8">
        <f t="shared" si="0"/>
        <v>-450</v>
      </c>
      <c r="K8">
        <f t="shared" si="0"/>
        <v>-572.47999999999956</v>
      </c>
      <c r="L8">
        <f t="shared" si="0"/>
        <v>-762.47999999999956</v>
      </c>
      <c r="M8">
        <f t="shared" si="0"/>
        <v>-935</v>
      </c>
      <c r="N8">
        <f t="shared" si="0"/>
        <v>-1175</v>
      </c>
      <c r="O8">
        <f t="shared" si="0"/>
        <v>-1397.5200000000004</v>
      </c>
      <c r="P8">
        <f t="shared" si="0"/>
        <v>-1687.5200000000004</v>
      </c>
    </row>
    <row r="10" spans="1:16" x14ac:dyDescent="0.25">
      <c r="B10" t="s">
        <v>223</v>
      </c>
    </row>
    <row r="11" spans="1:16" x14ac:dyDescent="0.25">
      <c r="C11" t="s">
        <v>204</v>
      </c>
      <c r="E11">
        <v>19999.980000000003</v>
      </c>
      <c r="F11">
        <v>19999.980000000003</v>
      </c>
      <c r="G11">
        <v>19999.980000000003</v>
      </c>
      <c r="H11">
        <v>19999.980000000003</v>
      </c>
      <c r="I11">
        <v>19999.980000000003</v>
      </c>
      <c r="J11">
        <v>19999.980000000003</v>
      </c>
      <c r="K11">
        <v>40000.019999999997</v>
      </c>
      <c r="L11">
        <v>40000.019999999997</v>
      </c>
      <c r="M11">
        <v>40000.019999999997</v>
      </c>
      <c r="N11">
        <v>40000.019999999997</v>
      </c>
      <c r="O11">
        <v>40000.019999999997</v>
      </c>
      <c r="P11">
        <v>40000.019999999997</v>
      </c>
    </row>
    <row r="12" spans="1:16" x14ac:dyDescent="0.25">
      <c r="C12" t="s">
        <v>205</v>
      </c>
      <c r="E12">
        <v>1383</v>
      </c>
      <c r="F12">
        <v>1383</v>
      </c>
      <c r="G12">
        <v>1383</v>
      </c>
      <c r="H12">
        <v>1383</v>
      </c>
      <c r="I12">
        <v>1383</v>
      </c>
      <c r="J12">
        <v>1383</v>
      </c>
      <c r="K12">
        <v>2503</v>
      </c>
      <c r="L12">
        <v>2503</v>
      </c>
      <c r="M12">
        <v>2503</v>
      </c>
      <c r="N12">
        <v>2503</v>
      </c>
      <c r="O12">
        <v>2503</v>
      </c>
      <c r="P12">
        <v>2503</v>
      </c>
    </row>
    <row r="13" spans="1:16" x14ac:dyDescent="0.25">
      <c r="C13" t="s">
        <v>206</v>
      </c>
      <c r="E13">
        <v>21382.980000000003</v>
      </c>
      <c r="F13">
        <v>21382.980000000003</v>
      </c>
      <c r="G13">
        <v>21382.980000000003</v>
      </c>
      <c r="H13">
        <v>21382.980000000003</v>
      </c>
      <c r="I13">
        <v>21382.980000000003</v>
      </c>
      <c r="J13">
        <v>21382.980000000003</v>
      </c>
      <c r="K13">
        <v>42503.02</v>
      </c>
      <c r="L13">
        <v>42503.02</v>
      </c>
      <c r="M13">
        <v>42503.02</v>
      </c>
      <c r="N13">
        <v>42503.02</v>
      </c>
      <c r="O13">
        <v>42503.02</v>
      </c>
      <c r="P13">
        <v>42503.02</v>
      </c>
    </row>
    <row r="14" spans="1:16" x14ac:dyDescent="0.25">
      <c r="C14" t="s">
        <v>77</v>
      </c>
      <c r="E14">
        <v>3000</v>
      </c>
      <c r="F14">
        <v>3000</v>
      </c>
      <c r="G14">
        <v>3000</v>
      </c>
      <c r="H14">
        <v>3000</v>
      </c>
      <c r="I14">
        <v>3000</v>
      </c>
      <c r="J14">
        <v>3000</v>
      </c>
      <c r="K14">
        <v>3000</v>
      </c>
      <c r="L14">
        <v>3000</v>
      </c>
      <c r="M14">
        <v>3000</v>
      </c>
      <c r="N14">
        <v>3000</v>
      </c>
      <c r="O14">
        <v>3000</v>
      </c>
      <c r="P14">
        <v>3000</v>
      </c>
    </row>
    <row r="15" spans="1:16" x14ac:dyDescent="0.25">
      <c r="C15" t="s">
        <v>78</v>
      </c>
      <c r="E15">
        <v>300</v>
      </c>
      <c r="F15">
        <v>300</v>
      </c>
      <c r="G15">
        <v>300</v>
      </c>
      <c r="H15">
        <v>300</v>
      </c>
      <c r="I15">
        <v>300</v>
      </c>
      <c r="J15">
        <v>300</v>
      </c>
      <c r="K15">
        <v>300</v>
      </c>
      <c r="L15">
        <v>300</v>
      </c>
      <c r="M15">
        <v>300</v>
      </c>
      <c r="N15">
        <v>300</v>
      </c>
      <c r="O15">
        <v>300</v>
      </c>
      <c r="P15">
        <v>300</v>
      </c>
    </row>
    <row r="16" spans="1:16" x14ac:dyDescent="0.25">
      <c r="C16" t="s">
        <v>79</v>
      </c>
      <c r="E16">
        <v>274</v>
      </c>
      <c r="F16">
        <v>274</v>
      </c>
      <c r="G16">
        <v>274</v>
      </c>
      <c r="H16">
        <v>274</v>
      </c>
      <c r="I16">
        <v>274</v>
      </c>
      <c r="J16">
        <v>274</v>
      </c>
      <c r="K16">
        <v>274</v>
      </c>
      <c r="L16">
        <v>274</v>
      </c>
      <c r="M16">
        <v>274</v>
      </c>
      <c r="N16">
        <v>274</v>
      </c>
      <c r="O16">
        <v>274</v>
      </c>
      <c r="P16">
        <v>274</v>
      </c>
    </row>
    <row r="17" spans="2:16" x14ac:dyDescent="0.25">
      <c r="C17" t="s">
        <v>80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2:16" x14ac:dyDescent="0.25">
      <c r="C18" t="s">
        <v>81</v>
      </c>
      <c r="E18">
        <v>500</v>
      </c>
      <c r="F18">
        <v>500</v>
      </c>
      <c r="G18">
        <v>500</v>
      </c>
      <c r="H18">
        <v>500</v>
      </c>
      <c r="I18">
        <v>500</v>
      </c>
      <c r="J18">
        <v>500</v>
      </c>
      <c r="K18">
        <v>500</v>
      </c>
      <c r="L18">
        <v>500</v>
      </c>
      <c r="M18">
        <v>500</v>
      </c>
      <c r="N18">
        <v>500</v>
      </c>
      <c r="O18">
        <v>500</v>
      </c>
      <c r="P18">
        <v>500</v>
      </c>
    </row>
    <row r="19" spans="2:16" x14ac:dyDescent="0.25">
      <c r="C19" t="s">
        <v>82</v>
      </c>
      <c r="E19">
        <v>100</v>
      </c>
      <c r="F19">
        <v>100</v>
      </c>
      <c r="G19">
        <v>100</v>
      </c>
      <c r="H19">
        <v>100</v>
      </c>
      <c r="I19">
        <v>100</v>
      </c>
      <c r="J19">
        <v>100</v>
      </c>
      <c r="K19">
        <v>100</v>
      </c>
      <c r="L19">
        <v>100</v>
      </c>
      <c r="M19">
        <v>100</v>
      </c>
      <c r="N19">
        <v>100</v>
      </c>
      <c r="O19">
        <v>100</v>
      </c>
      <c r="P19">
        <v>100</v>
      </c>
    </row>
    <row r="20" spans="2:16" x14ac:dyDescent="0.25">
      <c r="C20" t="s">
        <v>83</v>
      </c>
      <c r="E20">
        <v>3000</v>
      </c>
      <c r="F20">
        <v>3000</v>
      </c>
      <c r="G20">
        <v>3000</v>
      </c>
      <c r="H20">
        <v>3000</v>
      </c>
      <c r="I20">
        <v>3000</v>
      </c>
      <c r="J20">
        <v>3000</v>
      </c>
      <c r="K20">
        <v>3000</v>
      </c>
      <c r="L20">
        <v>3000</v>
      </c>
      <c r="M20">
        <v>3000</v>
      </c>
      <c r="N20">
        <v>3000</v>
      </c>
      <c r="O20">
        <v>3000</v>
      </c>
      <c r="P20">
        <v>3000</v>
      </c>
    </row>
    <row r="21" spans="2:16" x14ac:dyDescent="0.25">
      <c r="C21" t="s">
        <v>84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</row>
    <row r="22" spans="2:16" x14ac:dyDescent="0.25">
      <c r="C22" t="s">
        <v>85</v>
      </c>
      <c r="E22">
        <v>300</v>
      </c>
      <c r="F22">
        <v>300</v>
      </c>
      <c r="G22">
        <v>300</v>
      </c>
      <c r="H22">
        <v>300</v>
      </c>
      <c r="I22">
        <v>300</v>
      </c>
      <c r="J22">
        <v>300</v>
      </c>
      <c r="K22">
        <v>300</v>
      </c>
      <c r="L22">
        <v>300</v>
      </c>
      <c r="M22">
        <v>300</v>
      </c>
      <c r="N22">
        <v>300</v>
      </c>
      <c r="O22">
        <v>300</v>
      </c>
      <c r="P22">
        <v>300</v>
      </c>
    </row>
    <row r="23" spans="2:16" x14ac:dyDescent="0.25">
      <c r="C23" t="s">
        <v>86</v>
      </c>
      <c r="E23">
        <v>100</v>
      </c>
      <c r="F23">
        <v>100</v>
      </c>
      <c r="G23">
        <v>100</v>
      </c>
      <c r="H23">
        <v>100</v>
      </c>
      <c r="I23">
        <v>100</v>
      </c>
      <c r="J23">
        <v>100</v>
      </c>
      <c r="K23">
        <v>100</v>
      </c>
      <c r="L23">
        <v>100</v>
      </c>
      <c r="M23">
        <v>100</v>
      </c>
      <c r="N23">
        <v>100</v>
      </c>
      <c r="O23">
        <v>100</v>
      </c>
      <c r="P23">
        <v>100</v>
      </c>
    </row>
    <row r="24" spans="2:16" x14ac:dyDescent="0.25">
      <c r="B24" t="s">
        <v>224</v>
      </c>
      <c r="E24">
        <f t="shared" ref="E24:P24" si="1">SUM(E13:E23)</f>
        <v>28956.980000000003</v>
      </c>
      <c r="F24">
        <f t="shared" si="1"/>
        <v>28956.980000000003</v>
      </c>
      <c r="G24">
        <f t="shared" si="1"/>
        <v>28956.980000000003</v>
      </c>
      <c r="H24">
        <f t="shared" si="1"/>
        <v>28956.980000000003</v>
      </c>
      <c r="I24">
        <f t="shared" si="1"/>
        <v>28956.980000000003</v>
      </c>
      <c r="J24">
        <f t="shared" si="1"/>
        <v>28956.980000000003</v>
      </c>
      <c r="K24">
        <f t="shared" si="1"/>
        <v>50077.02</v>
      </c>
      <c r="L24">
        <f t="shared" si="1"/>
        <v>50077.02</v>
      </c>
      <c r="M24">
        <f t="shared" si="1"/>
        <v>50077.02</v>
      </c>
      <c r="N24">
        <f t="shared" si="1"/>
        <v>50077.02</v>
      </c>
      <c r="O24">
        <f t="shared" si="1"/>
        <v>50077.02</v>
      </c>
      <c r="P24">
        <f t="shared" si="1"/>
        <v>50077.02</v>
      </c>
    </row>
    <row r="26" spans="2:16" x14ac:dyDescent="0.25">
      <c r="B26" t="s">
        <v>123</v>
      </c>
      <c r="E26">
        <f t="shared" ref="E26:P26" si="2">E8 - E24</f>
        <v>-28966.980000000003</v>
      </c>
      <c r="F26">
        <f t="shared" si="2"/>
        <v>-29006.980000000003</v>
      </c>
      <c r="G26">
        <f t="shared" si="2"/>
        <v>-29066.980000000003</v>
      </c>
      <c r="H26">
        <f t="shared" si="2"/>
        <v>-29156.980000000003</v>
      </c>
      <c r="I26">
        <f t="shared" si="2"/>
        <v>-29266.980000000003</v>
      </c>
      <c r="J26">
        <f t="shared" si="2"/>
        <v>-29406.980000000003</v>
      </c>
      <c r="K26">
        <f t="shared" si="2"/>
        <v>-50649.5</v>
      </c>
      <c r="L26">
        <f t="shared" si="2"/>
        <v>-50839.5</v>
      </c>
      <c r="M26">
        <f t="shared" si="2"/>
        <v>-51012.02</v>
      </c>
      <c r="N26">
        <f t="shared" si="2"/>
        <v>-51252.02</v>
      </c>
      <c r="O26">
        <f t="shared" si="2"/>
        <v>-51474.539999999994</v>
      </c>
      <c r="P26">
        <f t="shared" si="2"/>
        <v>-51764.539999999994</v>
      </c>
    </row>
    <row r="28" spans="2:16" x14ac:dyDescent="0.25">
      <c r="B28" t="s">
        <v>28</v>
      </c>
    </row>
    <row r="29" spans="2:16" x14ac:dyDescent="0.25">
      <c r="C29" t="s">
        <v>210</v>
      </c>
      <c r="E29">
        <f>amortization_amt(E2, Amortization)</f>
        <v>666.68</v>
      </c>
      <c r="F29">
        <f>amortization_amt(F2, Amortization)</f>
        <v>666.68</v>
      </c>
      <c r="G29">
        <f>amortization_amt(G2, Amortization)</f>
        <v>666.68</v>
      </c>
      <c r="H29">
        <f>amortization_amt(H2, Amortization)</f>
        <v>666.68</v>
      </c>
      <c r="I29">
        <f>amortization_amt(I2, Amortization)</f>
        <v>666.68</v>
      </c>
      <c r="J29">
        <f>amortization_amt(J2, Amortization)</f>
        <v>666.68</v>
      </c>
      <c r="K29">
        <f>amortization_amt(K2, Amortization)</f>
        <v>666.68</v>
      </c>
      <c r="L29">
        <f>amortization_amt(L2, Amortization)</f>
        <v>666.68</v>
      </c>
      <c r="M29">
        <f>amortization_amt(M2, Amortization)</f>
        <v>666.68</v>
      </c>
      <c r="N29">
        <f>amortization_amt(N2, Amortization)</f>
        <v>666.68</v>
      </c>
      <c r="O29">
        <f>amortization_amt(O2, Amortization)</f>
        <v>666.68</v>
      </c>
      <c r="P29">
        <f>amortization_amt(P2, Amortization)</f>
        <v>666.68</v>
      </c>
    </row>
    <row r="30" spans="2:16" x14ac:dyDescent="0.25">
      <c r="C30" t="s">
        <v>208</v>
      </c>
      <c r="E30">
        <f>depr_amt(E2, Depreciation)</f>
        <v>500.01</v>
      </c>
      <c r="F30">
        <f>depr_amt(F2, Depreciation)</f>
        <v>500.01</v>
      </c>
      <c r="G30">
        <f>depr_amt(G2, Depreciation)</f>
        <v>500.01</v>
      </c>
      <c r="H30">
        <f>depr_amt(H2, Depreciation)</f>
        <v>500.01</v>
      </c>
      <c r="I30">
        <f>depr_amt(I2, Depreciation)</f>
        <v>500.01</v>
      </c>
      <c r="J30">
        <f>depr_amt(J2, Depreciation)</f>
        <v>500.01</v>
      </c>
      <c r="K30">
        <f>depr_amt(K2, Depreciation)</f>
        <v>500.01</v>
      </c>
      <c r="L30">
        <f>depr_amt(L2, Depreciation)</f>
        <v>500.01</v>
      </c>
      <c r="M30">
        <f>depr_amt(M2, Depreciation)</f>
        <v>500.01</v>
      </c>
      <c r="N30">
        <f>depr_amt(N2, Depreciation)</f>
        <v>500.01</v>
      </c>
      <c r="O30">
        <f>depr_amt(O2, Depreciation)</f>
        <v>500.01</v>
      </c>
      <c r="P30">
        <f>depr_amt(P2, Depreciation)</f>
        <v>500.01</v>
      </c>
    </row>
    <row r="31" spans="2:16" x14ac:dyDescent="0.25">
      <c r="C31" t="s">
        <v>225</v>
      </c>
    </row>
    <row r="32" spans="2:16" x14ac:dyDescent="0.25">
      <c r="C32" t="s">
        <v>226</v>
      </c>
      <c r="E32">
        <f>int_amt(E2, Interest)</f>
        <v>1750</v>
      </c>
      <c r="F32">
        <f>int_amt(F2, Interest)</f>
        <v>1745.86</v>
      </c>
      <c r="G32">
        <f>int_amt(G2, Interest)</f>
        <v>1741.71</v>
      </c>
      <c r="H32">
        <f>int_amt(H2, Interest)</f>
        <v>1737.54</v>
      </c>
      <c r="I32">
        <f>int_amt(I2, Interest)</f>
        <v>1733.35</v>
      </c>
      <c r="J32">
        <f>int_amt(J2, Interest)</f>
        <v>1729.14</v>
      </c>
      <c r="K32">
        <f>int_amt(K2, Interest)</f>
        <v>1724.91</v>
      </c>
      <c r="L32">
        <f>int_amt(L2, Interest)</f>
        <v>1720.67</v>
      </c>
      <c r="M32">
        <f>int_amt(M2, Interest)</f>
        <v>1716.4</v>
      </c>
      <c r="N32">
        <f>int_amt(N2, Interest)</f>
        <v>1712.12</v>
      </c>
      <c r="O32">
        <f>int_amt(O2, Interest)</f>
        <v>1707.82</v>
      </c>
      <c r="P32">
        <f>int_amt(P2, Interest)</f>
        <v>1703.5</v>
      </c>
    </row>
    <row r="33" spans="2:16" x14ac:dyDescent="0.25">
      <c r="C33" t="s">
        <v>227</v>
      </c>
    </row>
    <row r="34" spans="2:16" x14ac:dyDescent="0.25">
      <c r="B34" t="s">
        <v>228</v>
      </c>
      <c r="E34">
        <f t="shared" ref="E34:P34" si="3">SUM(E29:E33)</f>
        <v>2916.69</v>
      </c>
      <c r="F34">
        <f t="shared" si="3"/>
        <v>2912.55</v>
      </c>
      <c r="G34">
        <f t="shared" si="3"/>
        <v>2908.4</v>
      </c>
      <c r="H34">
        <f t="shared" si="3"/>
        <v>2904.23</v>
      </c>
      <c r="I34">
        <f t="shared" si="3"/>
        <v>2900.04</v>
      </c>
      <c r="J34">
        <f t="shared" si="3"/>
        <v>2895.83</v>
      </c>
      <c r="K34">
        <f t="shared" si="3"/>
        <v>2891.6000000000004</v>
      </c>
      <c r="L34">
        <f t="shared" si="3"/>
        <v>2887.36</v>
      </c>
      <c r="M34">
        <f t="shared" si="3"/>
        <v>2883.09</v>
      </c>
      <c r="N34">
        <f t="shared" si="3"/>
        <v>2878.81</v>
      </c>
      <c r="O34">
        <f t="shared" si="3"/>
        <v>2874.51</v>
      </c>
      <c r="P34">
        <f t="shared" si="3"/>
        <v>2870.19</v>
      </c>
    </row>
    <row r="36" spans="2:16" x14ac:dyDescent="0.25">
      <c r="B36" t="s">
        <v>229</v>
      </c>
      <c r="E36">
        <f t="shared" ref="E36:P36" si="4">E26 - E34</f>
        <v>-31883.670000000002</v>
      </c>
      <c r="F36">
        <f t="shared" si="4"/>
        <v>-31919.530000000002</v>
      </c>
      <c r="G36">
        <f t="shared" si="4"/>
        <v>-31975.380000000005</v>
      </c>
      <c r="H36">
        <f t="shared" si="4"/>
        <v>-32061.210000000003</v>
      </c>
      <c r="I36">
        <f t="shared" si="4"/>
        <v>-32167.020000000004</v>
      </c>
      <c r="J36">
        <f t="shared" si="4"/>
        <v>-32302.810000000005</v>
      </c>
      <c r="K36">
        <f t="shared" si="4"/>
        <v>-53541.1</v>
      </c>
      <c r="L36">
        <f t="shared" si="4"/>
        <v>-53726.86</v>
      </c>
      <c r="M36">
        <f t="shared" si="4"/>
        <v>-53895.11</v>
      </c>
      <c r="N36">
        <f t="shared" si="4"/>
        <v>-54130.829999999994</v>
      </c>
      <c r="O36">
        <f t="shared" si="4"/>
        <v>-54349.049999999996</v>
      </c>
      <c r="P36">
        <f t="shared" si="4"/>
        <v>-54634.729999999996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workbookViewId="0"/>
  </sheetViews>
  <sheetFormatPr defaultRowHeight="15" x14ac:dyDescent="0.25"/>
  <sheetData>
    <row r="1" spans="1:16" x14ac:dyDescent="0.25">
      <c r="A1" t="s">
        <v>92</v>
      </c>
      <c r="E1" t="s">
        <v>104</v>
      </c>
    </row>
    <row r="2" spans="1:16" x14ac:dyDescent="0.25"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N2">
        <v>10</v>
      </c>
      <c r="O2">
        <v>11</v>
      </c>
      <c r="P2">
        <v>12</v>
      </c>
    </row>
    <row r="3" spans="1:16" x14ac:dyDescent="0.25">
      <c r="A3" t="s">
        <v>15</v>
      </c>
    </row>
    <row r="4" spans="1:16" x14ac:dyDescent="0.25">
      <c r="B4" t="s">
        <v>230</v>
      </c>
    </row>
    <row r="5" spans="1:16" x14ac:dyDescent="0.25">
      <c r="C5" t="s">
        <v>231</v>
      </c>
      <c r="E5">
        <f>CF!E36</f>
        <v>450447.70999999996</v>
      </c>
      <c r="F5">
        <f>CF!F36</f>
        <v>581486.18329999992</v>
      </c>
      <c r="G5">
        <f>CF!G36</f>
        <v>553844.66669999994</v>
      </c>
      <c r="H5">
        <f>CF!H36</f>
        <v>528183.16999999993</v>
      </c>
      <c r="I5">
        <f>CF!I36</f>
        <v>504641.69339999993</v>
      </c>
      <c r="J5">
        <f>CF!J36</f>
        <v>483880.23669999989</v>
      </c>
      <c r="K5">
        <f>CF!K36</f>
        <v>419503.72009999992</v>
      </c>
      <c r="L5">
        <f>CF!L36</f>
        <v>384202.25339999993</v>
      </c>
      <c r="M5">
        <f>CF!M36</f>
        <v>327205.85669999995</v>
      </c>
      <c r="N5">
        <f>CF!N36</f>
        <v>274584.42999999993</v>
      </c>
      <c r="O5">
        <f>CF!O36</f>
        <v>226568.06329999992</v>
      </c>
      <c r="P5">
        <f>CF!P36</f>
        <v>183726.67649999997</v>
      </c>
    </row>
    <row r="6" spans="1:16" x14ac:dyDescent="0.25">
      <c r="C6" t="s">
        <v>232</v>
      </c>
      <c r="E6">
        <f>OperatingAssumptions!$N$10/30 * 'P&amp;L'!E4</f>
        <v>160</v>
      </c>
      <c r="F6">
        <f>OperatingAssumptions!$N$10/30 * 'P&amp;L'!F4</f>
        <v>800</v>
      </c>
      <c r="G6">
        <f>OperatingAssumptions!$N$10/30 * 'P&amp;L'!G4</f>
        <v>1760</v>
      </c>
      <c r="H6">
        <f>OperatingAssumptions!$N$10/30 * 'P&amp;L'!H4</f>
        <v>3200</v>
      </c>
      <c r="I6">
        <f>OperatingAssumptions!$N$10/30 * 'P&amp;L'!I4</f>
        <v>4960</v>
      </c>
      <c r="J6">
        <f>OperatingAssumptions!$N$10/30 * 'P&amp;L'!J4</f>
        <v>7200</v>
      </c>
      <c r="K6">
        <f>OperatingAssumptions!$N$10/30 * 'P&amp;L'!K4</f>
        <v>9840</v>
      </c>
      <c r="L6">
        <f>OperatingAssumptions!$N$10/30 * 'P&amp;L'!L4</f>
        <v>12880</v>
      </c>
      <c r="M6">
        <f>OperatingAssumptions!$N$10/30 * 'P&amp;L'!M4</f>
        <v>16320</v>
      </c>
      <c r="N6">
        <f>OperatingAssumptions!$N$10/30 * 'P&amp;L'!N4</f>
        <v>20160</v>
      </c>
      <c r="O6">
        <f>OperatingAssumptions!$N$10/30 * 'P&amp;L'!O4</f>
        <v>24400</v>
      </c>
      <c r="P6">
        <f>OperatingAssumptions!$N$10/30 * 'P&amp;L'!P4</f>
        <v>29040</v>
      </c>
    </row>
    <row r="7" spans="1:16" x14ac:dyDescent="0.25">
      <c r="C7" t="s">
        <v>233</v>
      </c>
    </row>
    <row r="8" spans="1:16" x14ac:dyDescent="0.25">
      <c r="C8" t="s">
        <v>125</v>
      </c>
      <c r="E8">
        <f>inventory(E2, 'P&amp;L'!E6, TotalInvAddedRow, D8)</f>
        <v>25330</v>
      </c>
      <c r="F8">
        <f>inventory(F2, 'P&amp;L'!F6, TotalInvAddedRow, E8)</f>
        <v>24480</v>
      </c>
      <c r="G8">
        <f>inventory(G2, 'P&amp;L'!G6, TotalInvAddedRow, F8)</f>
        <v>22610</v>
      </c>
      <c r="H8">
        <f>inventory(H2, 'P&amp;L'!H6, TotalInvAddedRow, G8)</f>
        <v>19210</v>
      </c>
      <c r="I8">
        <f>inventory(I2, 'P&amp;L'!I6, TotalInvAddedRow, H8)</f>
        <v>13940</v>
      </c>
      <c r="J8">
        <f>inventory(J2, 'P&amp;L'!J6, TotalInvAddedRow, I8)</f>
        <v>6290</v>
      </c>
      <c r="K8">
        <f>inventory(K2, 'P&amp;L'!K6, TotalInvAddedRow, J8)</f>
        <v>21377.52</v>
      </c>
      <c r="L8">
        <f>inventory(L2, 'P&amp;L'!L6, TotalInvAddedRow, K8)</f>
        <v>7735.0400000000009</v>
      </c>
      <c r="M8">
        <f>inventory(M2, 'P&amp;L'!M6, TotalInvAddedRow, L8)</f>
        <v>15980.04</v>
      </c>
      <c r="N8">
        <f>inventory(N2, 'P&amp;L'!N6, TotalInvAddedRow, M8)</f>
        <v>20145.04</v>
      </c>
      <c r="O8">
        <f>inventory(O2, 'P&amp;L'!O6, TotalInvAddedRow, N8)</f>
        <v>19847.52</v>
      </c>
      <c r="P8">
        <f>inventory(P2, 'P&amp;L'!P6, TotalInvAddedRow, O8)</f>
        <v>14620</v>
      </c>
    </row>
    <row r="9" spans="1:16" x14ac:dyDescent="0.25">
      <c r="C9" t="s">
        <v>234</v>
      </c>
    </row>
    <row r="10" spans="1:16" x14ac:dyDescent="0.25">
      <c r="C10" t="s">
        <v>235</v>
      </c>
    </row>
    <row r="11" spans="1:16" x14ac:dyDescent="0.25">
      <c r="B11" t="s">
        <v>236</v>
      </c>
      <c r="E11">
        <f t="shared" ref="E11:P11" si="0">SUM(E5:E10)</f>
        <v>475937.70999999996</v>
      </c>
      <c r="F11">
        <f t="shared" si="0"/>
        <v>606766.18329999992</v>
      </c>
      <c r="G11">
        <f t="shared" si="0"/>
        <v>578214.66669999994</v>
      </c>
      <c r="H11">
        <f t="shared" si="0"/>
        <v>550593.16999999993</v>
      </c>
      <c r="I11">
        <f t="shared" si="0"/>
        <v>523541.69339999993</v>
      </c>
      <c r="J11">
        <f t="shared" si="0"/>
        <v>497370.23669999989</v>
      </c>
      <c r="K11">
        <f t="shared" si="0"/>
        <v>450721.24009999994</v>
      </c>
      <c r="L11">
        <f t="shared" si="0"/>
        <v>404817.29339999991</v>
      </c>
      <c r="M11">
        <f t="shared" si="0"/>
        <v>359505.89669999992</v>
      </c>
      <c r="N11">
        <f t="shared" si="0"/>
        <v>314889.46999999991</v>
      </c>
      <c r="O11">
        <f t="shared" si="0"/>
        <v>270815.58329999994</v>
      </c>
      <c r="P11">
        <f t="shared" si="0"/>
        <v>227386.67649999997</v>
      </c>
    </row>
    <row r="13" spans="1:16" x14ac:dyDescent="0.25">
      <c r="B13" t="s">
        <v>101</v>
      </c>
    </row>
    <row r="14" spans="1:16" x14ac:dyDescent="0.25">
      <c r="C14" t="str">
        <f>OperatingAssumptions!$Q17</f>
        <v>Asset 1</v>
      </c>
      <c r="E14">
        <f>OperatingAssumptions!$Q19</f>
        <v>10000</v>
      </c>
      <c r="F14">
        <f>OperatingAssumptions!$Q19</f>
        <v>10000</v>
      </c>
      <c r="G14">
        <f>OperatingAssumptions!$Q19</f>
        <v>10000</v>
      </c>
      <c r="H14">
        <f>OperatingAssumptions!$Q19</f>
        <v>10000</v>
      </c>
      <c r="I14">
        <f>OperatingAssumptions!$Q19</f>
        <v>10000</v>
      </c>
      <c r="J14">
        <f>OperatingAssumptions!$Q19</f>
        <v>10000</v>
      </c>
      <c r="K14">
        <f>OperatingAssumptions!$Q19</f>
        <v>10000</v>
      </c>
      <c r="L14">
        <f>OperatingAssumptions!$Q19</f>
        <v>10000</v>
      </c>
      <c r="M14">
        <f>OperatingAssumptions!$Q19</f>
        <v>10000</v>
      </c>
      <c r="N14">
        <f>OperatingAssumptions!$Q19</f>
        <v>10000</v>
      </c>
      <c r="O14">
        <f>OperatingAssumptions!$Q19</f>
        <v>10000</v>
      </c>
      <c r="P14">
        <f>OperatingAssumptions!$Q19</f>
        <v>10000</v>
      </c>
    </row>
    <row r="15" spans="1:16" x14ac:dyDescent="0.25">
      <c r="C15" t="str">
        <f>OperatingAssumptions!$Q21</f>
        <v>Asset 2</v>
      </c>
      <c r="E15">
        <f>OperatingAssumptions!$Q23</f>
        <v>10000</v>
      </c>
      <c r="F15">
        <f>OperatingAssumptions!$Q23</f>
        <v>10000</v>
      </c>
      <c r="G15">
        <f>OperatingAssumptions!$Q23</f>
        <v>10000</v>
      </c>
      <c r="H15">
        <f>OperatingAssumptions!$Q23</f>
        <v>10000</v>
      </c>
      <c r="I15">
        <f>OperatingAssumptions!$Q23</f>
        <v>10000</v>
      </c>
      <c r="J15">
        <f>OperatingAssumptions!$Q23</f>
        <v>10000</v>
      </c>
      <c r="K15">
        <f>OperatingAssumptions!$Q23</f>
        <v>10000</v>
      </c>
      <c r="L15">
        <f>OperatingAssumptions!$Q23</f>
        <v>10000</v>
      </c>
      <c r="M15">
        <f>OperatingAssumptions!$Q23</f>
        <v>10000</v>
      </c>
      <c r="N15">
        <f>OperatingAssumptions!$Q23</f>
        <v>10000</v>
      </c>
      <c r="O15">
        <f>OperatingAssumptions!$Q23</f>
        <v>10000</v>
      </c>
      <c r="P15">
        <f>OperatingAssumptions!$Q23</f>
        <v>10000</v>
      </c>
    </row>
    <row r="16" spans="1:16" x14ac:dyDescent="0.25">
      <c r="C16" t="str">
        <f>OperatingAssumptions!$Q25</f>
        <v>Asset 3</v>
      </c>
      <c r="E16">
        <f>OperatingAssumptions!$Q27</f>
        <v>10000</v>
      </c>
      <c r="F16">
        <f>OperatingAssumptions!$Q27</f>
        <v>10000</v>
      </c>
      <c r="G16">
        <f>OperatingAssumptions!$Q27</f>
        <v>10000</v>
      </c>
      <c r="H16">
        <f>OperatingAssumptions!$Q27</f>
        <v>10000</v>
      </c>
      <c r="I16">
        <f>OperatingAssumptions!$Q27</f>
        <v>10000</v>
      </c>
      <c r="J16">
        <f>OperatingAssumptions!$Q27</f>
        <v>10000</v>
      </c>
      <c r="K16">
        <f>OperatingAssumptions!$Q27</f>
        <v>10000</v>
      </c>
      <c r="L16">
        <f>OperatingAssumptions!$Q27</f>
        <v>10000</v>
      </c>
      <c r="M16">
        <f>OperatingAssumptions!$Q27</f>
        <v>10000</v>
      </c>
      <c r="N16">
        <f>OperatingAssumptions!$Q27</f>
        <v>10000</v>
      </c>
      <c r="O16">
        <f>OperatingAssumptions!$Q27</f>
        <v>10000</v>
      </c>
      <c r="P16">
        <f>OperatingAssumptions!$Q27</f>
        <v>10000</v>
      </c>
    </row>
    <row r="17" spans="1:16" x14ac:dyDescent="0.25">
      <c r="C17" t="str">
        <f>OperatingAssumptions!$Q29</f>
        <v>Asset 4</v>
      </c>
      <c r="E17">
        <f>OperatingAssumptions!$Q31</f>
        <v>10000</v>
      </c>
      <c r="F17">
        <f>OperatingAssumptions!$Q31</f>
        <v>10000</v>
      </c>
      <c r="G17">
        <f>OperatingAssumptions!$Q31</f>
        <v>10000</v>
      </c>
      <c r="H17">
        <f>OperatingAssumptions!$Q31</f>
        <v>10000</v>
      </c>
      <c r="I17">
        <f>OperatingAssumptions!$Q31</f>
        <v>10000</v>
      </c>
      <c r="J17">
        <f>OperatingAssumptions!$Q31</f>
        <v>10000</v>
      </c>
      <c r="K17">
        <f>OperatingAssumptions!$Q31</f>
        <v>10000</v>
      </c>
      <c r="L17">
        <f>OperatingAssumptions!$Q31</f>
        <v>10000</v>
      </c>
      <c r="M17">
        <f>OperatingAssumptions!$Q31</f>
        <v>10000</v>
      </c>
      <c r="N17">
        <f>OperatingAssumptions!$Q31</f>
        <v>10000</v>
      </c>
      <c r="O17">
        <f>OperatingAssumptions!$Q31</f>
        <v>10000</v>
      </c>
      <c r="P17">
        <f>OperatingAssumptions!$Q31</f>
        <v>10000</v>
      </c>
    </row>
    <row r="18" spans="1:16" x14ac:dyDescent="0.25">
      <c r="B18" t="s">
        <v>237</v>
      </c>
      <c r="E18">
        <f t="shared" ref="E18:P18" si="1">SUM(E13:E17)</f>
        <v>40000</v>
      </c>
      <c r="F18">
        <f t="shared" si="1"/>
        <v>40000</v>
      </c>
      <c r="G18">
        <f t="shared" si="1"/>
        <v>40000</v>
      </c>
      <c r="H18">
        <f t="shared" si="1"/>
        <v>40000</v>
      </c>
      <c r="I18">
        <f t="shared" si="1"/>
        <v>40000</v>
      </c>
      <c r="J18">
        <f t="shared" si="1"/>
        <v>40000</v>
      </c>
      <c r="K18">
        <f t="shared" si="1"/>
        <v>40000</v>
      </c>
      <c r="L18">
        <f t="shared" si="1"/>
        <v>40000</v>
      </c>
      <c r="M18">
        <f t="shared" si="1"/>
        <v>40000</v>
      </c>
      <c r="N18">
        <f t="shared" si="1"/>
        <v>40000</v>
      </c>
      <c r="O18">
        <f t="shared" si="1"/>
        <v>40000</v>
      </c>
      <c r="P18">
        <f t="shared" si="1"/>
        <v>40000</v>
      </c>
    </row>
    <row r="20" spans="1:16" x14ac:dyDescent="0.25">
      <c r="B20" t="s">
        <v>238</v>
      </c>
      <c r="E20">
        <f>-amortization_amt(E2, Amortization)</f>
        <v>-666.68</v>
      </c>
      <c r="F20">
        <f xml:space="preserve"> E20 - amortization_amt(F2, Amortization)</f>
        <v>-1333.36</v>
      </c>
      <c r="G20">
        <f xml:space="preserve"> F20 - amortization_amt(G2, Amortization)</f>
        <v>-2000.04</v>
      </c>
      <c r="H20">
        <f xml:space="preserve"> G20 - amortization_amt(H2, Amortization)</f>
        <v>-2666.72</v>
      </c>
      <c r="I20">
        <f xml:space="preserve"> H20 - amortization_amt(I2, Amortization)</f>
        <v>-3333.3999999999996</v>
      </c>
      <c r="J20">
        <f xml:space="preserve"> I20 - amortization_amt(J2, Amortization)</f>
        <v>-4000.0799999999995</v>
      </c>
      <c r="K20">
        <f xml:space="preserve"> J20 - amortization_amt(K2, Amortization)</f>
        <v>-4666.7599999999993</v>
      </c>
      <c r="L20">
        <f xml:space="preserve"> K20 - amortization_amt(L2, Amortization)</f>
        <v>-5333.44</v>
      </c>
      <c r="M20">
        <f xml:space="preserve"> L20 - amortization_amt(M2, Amortization)</f>
        <v>-6000.12</v>
      </c>
      <c r="N20">
        <f xml:space="preserve"> M20 - amortization_amt(N2, Amortization)</f>
        <v>-6666.8</v>
      </c>
      <c r="O20">
        <f xml:space="preserve"> N20 - amortization_amt(O2, Amortization)</f>
        <v>-7333.4800000000005</v>
      </c>
      <c r="P20">
        <f xml:space="preserve"> O20 - amortization_amt(P2, Amortization)</f>
        <v>-8000.1600000000008</v>
      </c>
    </row>
    <row r="22" spans="1:16" x14ac:dyDescent="0.25">
      <c r="B22" t="s">
        <v>239</v>
      </c>
    </row>
    <row r="23" spans="1:16" x14ac:dyDescent="0.25">
      <c r="C23" t="str">
        <f>OperatingAssumptions!$Q4</f>
        <v>Asset 1</v>
      </c>
      <c r="E23">
        <f>OperatingAssumptions!$Q6</f>
        <v>10000</v>
      </c>
      <c r="F23">
        <f>OperatingAssumptions!$Q6</f>
        <v>10000</v>
      </c>
      <c r="G23">
        <f>OperatingAssumptions!$Q6</f>
        <v>10000</v>
      </c>
      <c r="H23">
        <f>OperatingAssumptions!$Q6</f>
        <v>10000</v>
      </c>
      <c r="I23">
        <f>OperatingAssumptions!$Q6</f>
        <v>10000</v>
      </c>
      <c r="J23">
        <f>OperatingAssumptions!$Q6</f>
        <v>10000</v>
      </c>
      <c r="K23">
        <f>OperatingAssumptions!$Q6</f>
        <v>10000</v>
      </c>
      <c r="L23">
        <f>OperatingAssumptions!$Q6</f>
        <v>10000</v>
      </c>
      <c r="M23">
        <f>OperatingAssumptions!$Q6</f>
        <v>10000</v>
      </c>
      <c r="N23">
        <f>OperatingAssumptions!$Q6</f>
        <v>10000</v>
      </c>
      <c r="O23">
        <f>OperatingAssumptions!$Q6</f>
        <v>10000</v>
      </c>
      <c r="P23">
        <f>OperatingAssumptions!$Q6</f>
        <v>10000</v>
      </c>
    </row>
    <row r="24" spans="1:16" x14ac:dyDescent="0.25">
      <c r="C24" t="str">
        <f>OperatingAssumptions!$Q8</f>
        <v>Asset 2</v>
      </c>
      <c r="E24">
        <f>OperatingAssumptions!$Q10</f>
        <v>10000</v>
      </c>
      <c r="F24">
        <f>OperatingAssumptions!$Q10</f>
        <v>10000</v>
      </c>
      <c r="G24">
        <f>OperatingAssumptions!$Q10</f>
        <v>10000</v>
      </c>
      <c r="H24">
        <f>OperatingAssumptions!$Q10</f>
        <v>10000</v>
      </c>
      <c r="I24">
        <f>OperatingAssumptions!$Q10</f>
        <v>10000</v>
      </c>
      <c r="J24">
        <f>OperatingAssumptions!$Q10</f>
        <v>10000</v>
      </c>
      <c r="K24">
        <f>OperatingAssumptions!$Q10</f>
        <v>10000</v>
      </c>
      <c r="L24">
        <f>OperatingAssumptions!$Q10</f>
        <v>10000</v>
      </c>
      <c r="M24">
        <f>OperatingAssumptions!$Q10</f>
        <v>10000</v>
      </c>
      <c r="N24">
        <f>OperatingAssumptions!$Q10</f>
        <v>10000</v>
      </c>
      <c r="O24">
        <f>OperatingAssumptions!$Q10</f>
        <v>10000</v>
      </c>
      <c r="P24">
        <f>OperatingAssumptions!$Q10</f>
        <v>10000</v>
      </c>
    </row>
    <row r="25" spans="1:16" x14ac:dyDescent="0.25">
      <c r="C25" t="str">
        <f>OperatingAssumptions!$Q12</f>
        <v>Asset 3</v>
      </c>
      <c r="E25">
        <f>OperatingAssumptions!$Q14</f>
        <v>10000</v>
      </c>
      <c r="F25">
        <f>OperatingAssumptions!$Q14</f>
        <v>10000</v>
      </c>
      <c r="G25">
        <f>OperatingAssumptions!$Q14</f>
        <v>10000</v>
      </c>
      <c r="H25">
        <f>OperatingAssumptions!$Q14</f>
        <v>10000</v>
      </c>
      <c r="I25">
        <f>OperatingAssumptions!$Q14</f>
        <v>10000</v>
      </c>
      <c r="J25">
        <f>OperatingAssumptions!$Q14</f>
        <v>10000</v>
      </c>
      <c r="K25">
        <f>OperatingAssumptions!$Q14</f>
        <v>10000</v>
      </c>
      <c r="L25">
        <f>OperatingAssumptions!$Q14</f>
        <v>10000</v>
      </c>
      <c r="M25">
        <f>OperatingAssumptions!$Q14</f>
        <v>10000</v>
      </c>
      <c r="N25">
        <f>OperatingAssumptions!$Q14</f>
        <v>10000</v>
      </c>
      <c r="O25">
        <f>OperatingAssumptions!$Q14</f>
        <v>10000</v>
      </c>
      <c r="P25">
        <f>OperatingAssumptions!$Q14</f>
        <v>10000</v>
      </c>
    </row>
    <row r="26" spans="1:16" x14ac:dyDescent="0.25">
      <c r="B26" t="s">
        <v>240</v>
      </c>
      <c r="E26">
        <f t="shared" ref="E26:P26" si="2">SUM(E22:E25)</f>
        <v>30000</v>
      </c>
      <c r="F26">
        <f t="shared" si="2"/>
        <v>30000</v>
      </c>
      <c r="G26">
        <f t="shared" si="2"/>
        <v>30000</v>
      </c>
      <c r="H26">
        <f t="shared" si="2"/>
        <v>30000</v>
      </c>
      <c r="I26">
        <f t="shared" si="2"/>
        <v>30000</v>
      </c>
      <c r="J26">
        <f t="shared" si="2"/>
        <v>30000</v>
      </c>
      <c r="K26">
        <f t="shared" si="2"/>
        <v>30000</v>
      </c>
      <c r="L26">
        <f t="shared" si="2"/>
        <v>30000</v>
      </c>
      <c r="M26">
        <f t="shared" si="2"/>
        <v>30000</v>
      </c>
      <c r="N26">
        <f t="shared" si="2"/>
        <v>30000</v>
      </c>
      <c r="O26">
        <f t="shared" si="2"/>
        <v>30000</v>
      </c>
      <c r="P26">
        <f t="shared" si="2"/>
        <v>30000</v>
      </c>
    </row>
    <row r="28" spans="1:16" x14ac:dyDescent="0.25">
      <c r="B28" t="s">
        <v>241</v>
      </c>
      <c r="E28">
        <f>-depr_amt(E2, Depreciation)</f>
        <v>-500.01</v>
      </c>
      <c r="F28">
        <f xml:space="preserve"> E28 - depr_amt(F2, Depreciation)</f>
        <v>-1000.02</v>
      </c>
      <c r="G28">
        <f xml:space="preserve"> F28 - depr_amt(G2, Depreciation)</f>
        <v>-1500.03</v>
      </c>
      <c r="H28">
        <f xml:space="preserve"> G28 - depr_amt(H2, Depreciation)</f>
        <v>-2000.04</v>
      </c>
      <c r="I28">
        <f xml:space="preserve"> H28 - depr_amt(I2, Depreciation)</f>
        <v>-2500.0500000000002</v>
      </c>
      <c r="J28">
        <f xml:space="preserve"> I28 - depr_amt(J2, Depreciation)</f>
        <v>-3000.0600000000004</v>
      </c>
      <c r="K28">
        <f xml:space="preserve"> J28 - depr_amt(K2, Depreciation)</f>
        <v>-3500.0700000000006</v>
      </c>
      <c r="L28">
        <f xml:space="preserve"> K28 - depr_amt(L2, Depreciation)</f>
        <v>-4000.0800000000008</v>
      </c>
      <c r="M28">
        <f xml:space="preserve"> L28 - depr_amt(M2, Depreciation)</f>
        <v>-4500.0900000000011</v>
      </c>
      <c r="N28">
        <f xml:space="preserve"> M28 - depr_amt(N2, Depreciation)</f>
        <v>-5000.1000000000013</v>
      </c>
      <c r="O28">
        <f xml:space="preserve"> N28 - depr_amt(O2, Depreciation)</f>
        <v>-5500.1100000000015</v>
      </c>
      <c r="P28">
        <f xml:space="preserve"> O28 - depr_amt(P2, Depreciation)</f>
        <v>-6000.1200000000017</v>
      </c>
    </row>
    <row r="30" spans="1:16" x14ac:dyDescent="0.25">
      <c r="A30" t="s">
        <v>242</v>
      </c>
      <c r="E30">
        <f t="shared" ref="E30:P30" si="3">E11+E18+E20+E26+E28</f>
        <v>544771.02</v>
      </c>
      <c r="F30">
        <f t="shared" si="3"/>
        <v>674432.80329999991</v>
      </c>
      <c r="G30">
        <f t="shared" si="3"/>
        <v>644714.59669999988</v>
      </c>
      <c r="H30">
        <f t="shared" si="3"/>
        <v>615926.40999999992</v>
      </c>
      <c r="I30">
        <f t="shared" si="3"/>
        <v>587708.24339999992</v>
      </c>
      <c r="J30">
        <f t="shared" si="3"/>
        <v>560370.09669999988</v>
      </c>
      <c r="K30">
        <f t="shared" si="3"/>
        <v>512554.41009999992</v>
      </c>
      <c r="L30">
        <f t="shared" si="3"/>
        <v>465483.77339999989</v>
      </c>
      <c r="M30">
        <f t="shared" si="3"/>
        <v>419005.6866999999</v>
      </c>
      <c r="N30">
        <f t="shared" si="3"/>
        <v>373222.56999999995</v>
      </c>
      <c r="O30">
        <f t="shared" si="3"/>
        <v>327981.99329999997</v>
      </c>
      <c r="P30">
        <f t="shared" si="3"/>
        <v>283386.39649999992</v>
      </c>
    </row>
    <row r="33" spans="1:16" x14ac:dyDescent="0.25">
      <c r="A33" t="s">
        <v>243</v>
      </c>
    </row>
    <row r="34" spans="1:16" x14ac:dyDescent="0.25">
      <c r="B34" t="s">
        <v>244</v>
      </c>
    </row>
    <row r="35" spans="1:16" x14ac:dyDescent="0.25">
      <c r="C35" t="s">
        <v>245</v>
      </c>
      <c r="E35">
        <f>OperatingAssumptions!$N$11/30 * acct_payable(E2, FixedExpPL, 'P&amp;L'!E6)</f>
        <v>15488</v>
      </c>
      <c r="F35">
        <f>OperatingAssumptions!$N$11/30 * acct_payable(F2, FixedExpPL, 'P&amp;L'!F6)</f>
        <v>16848</v>
      </c>
      <c r="G35">
        <f>OperatingAssumptions!$N$11/30 * acct_payable(G2, FixedExpPL, 'P&amp;L'!G6)</f>
        <v>18888</v>
      </c>
      <c r="H35">
        <f>OperatingAssumptions!$N$11/30 * acct_payable(H2, FixedExpPL, 'P&amp;L'!H6)</f>
        <v>21948</v>
      </c>
      <c r="I35">
        <f>OperatingAssumptions!$N$11/30 * acct_payable(I2, FixedExpPL, 'P&amp;L'!I6)</f>
        <v>25688</v>
      </c>
      <c r="J35">
        <f>OperatingAssumptions!$N$11/30 * acct_payable(J2, FixedExpPL, 'P&amp;L'!J6)</f>
        <v>30448</v>
      </c>
      <c r="K35">
        <f>OperatingAssumptions!$N$11/30 * acct_payable(K2, FixedExpPL, 'P&amp;L'!K6)</f>
        <v>35972.959999999999</v>
      </c>
      <c r="L35">
        <f>OperatingAssumptions!$N$11/30 * acct_payable(L2, FixedExpPL, 'P&amp;L'!L6)</f>
        <v>42432.959999999999</v>
      </c>
      <c r="M35">
        <f>OperatingAssumptions!$N$11/30 * acct_payable(M2, FixedExpPL, 'P&amp;L'!M6)</f>
        <v>49658</v>
      </c>
      <c r="N35">
        <f>OperatingAssumptions!$N$11/30 * acct_payable(N2, FixedExpPL, 'P&amp;L'!N6)</f>
        <v>57818</v>
      </c>
      <c r="O35">
        <f>OperatingAssumptions!$N$11/30 * acct_payable(O2, FixedExpPL, 'P&amp;L'!O6)</f>
        <v>66743.040000000008</v>
      </c>
      <c r="P35">
        <f>OperatingAssumptions!$N$11/30 * acct_payable(P2, FixedExpPL, 'P&amp;L'!P6)</f>
        <v>76603.040000000008</v>
      </c>
    </row>
    <row r="36" spans="1:16" x14ac:dyDescent="0.25">
      <c r="C36" t="s">
        <v>246</v>
      </c>
      <c r="E36">
        <f>loan_payable(E2, LoanBalance)</f>
        <v>400000</v>
      </c>
      <c r="F36">
        <f>loan_payable(F2, LoanBalance)</f>
        <v>399054.62329999998</v>
      </c>
      <c r="G36">
        <f>loan_payable(G2, LoanBalance)</f>
        <v>398105.1067</v>
      </c>
      <c r="H36">
        <f>loan_payable(H2, LoanBalance)</f>
        <v>397151.44</v>
      </c>
      <c r="I36">
        <f>loan_payable(I2, LoanBalance)</f>
        <v>396193.60340000002</v>
      </c>
      <c r="J36">
        <f>loan_payable(J2, LoanBalance)</f>
        <v>395231.57669999998</v>
      </c>
      <c r="K36">
        <f>loan_payable(K2, LoanBalance)</f>
        <v>394265.34009999997</v>
      </c>
      <c r="L36">
        <f>loan_payable(L2, LoanBalance)</f>
        <v>393294.87339999998</v>
      </c>
      <c r="M36">
        <f>loan_payable(M2, LoanBalance)</f>
        <v>392320.1667</v>
      </c>
      <c r="N36">
        <f>loan_payable(N2, LoanBalance)</f>
        <v>391341.19</v>
      </c>
      <c r="O36">
        <f>loan_payable(O2, LoanBalance)</f>
        <v>390357.93329999998</v>
      </c>
      <c r="P36">
        <f>loan_payable(P2, LoanBalance)</f>
        <v>389370.37650000001</v>
      </c>
    </row>
    <row r="37" spans="1:16" x14ac:dyDescent="0.25">
      <c r="C37" t="s">
        <v>247</v>
      </c>
    </row>
    <row r="38" spans="1:16" x14ac:dyDescent="0.25">
      <c r="C38" t="s">
        <v>248</v>
      </c>
    </row>
    <row r="39" spans="1:16" x14ac:dyDescent="0.25">
      <c r="C39" t="s">
        <v>249</v>
      </c>
    </row>
    <row r="40" spans="1:16" x14ac:dyDescent="0.25">
      <c r="B40" t="s">
        <v>250</v>
      </c>
      <c r="E40">
        <f t="shared" ref="E40:P40" si="4">SUM(E34:E39)</f>
        <v>415488</v>
      </c>
      <c r="F40">
        <f t="shared" si="4"/>
        <v>415902.62329999998</v>
      </c>
      <c r="G40">
        <f t="shared" si="4"/>
        <v>416993.1067</v>
      </c>
      <c r="H40">
        <f t="shared" si="4"/>
        <v>419099.44</v>
      </c>
      <c r="I40">
        <f t="shared" si="4"/>
        <v>421881.60340000002</v>
      </c>
      <c r="J40">
        <f t="shared" si="4"/>
        <v>425679.57669999998</v>
      </c>
      <c r="K40">
        <f t="shared" si="4"/>
        <v>430238.30009999999</v>
      </c>
      <c r="L40">
        <f t="shared" si="4"/>
        <v>435727.8334</v>
      </c>
      <c r="M40">
        <f t="shared" si="4"/>
        <v>441978.1667</v>
      </c>
      <c r="N40">
        <f t="shared" si="4"/>
        <v>449159.19</v>
      </c>
      <c r="O40">
        <f t="shared" si="4"/>
        <v>457100.97329999995</v>
      </c>
      <c r="P40">
        <f t="shared" si="4"/>
        <v>465973.41650000005</v>
      </c>
    </row>
    <row r="42" spans="1:16" x14ac:dyDescent="0.25">
      <c r="B42" t="s">
        <v>251</v>
      </c>
    </row>
    <row r="43" spans="1:16" x14ac:dyDescent="0.25">
      <c r="C43" t="s">
        <v>252</v>
      </c>
      <c r="E43">
        <f>capital_stock(E2,2, Capitalization)</f>
        <v>160000</v>
      </c>
      <c r="F43">
        <f>capital_stock(F2,2, Capitalization)</f>
        <v>320000</v>
      </c>
      <c r="G43">
        <f>capital_stock(G2,2, Capitalization)</f>
        <v>320000</v>
      </c>
      <c r="H43">
        <f>capital_stock(H2,2, Capitalization)</f>
        <v>320000</v>
      </c>
      <c r="I43">
        <f>capital_stock(I2,2, Capitalization)</f>
        <v>320000</v>
      </c>
      <c r="J43">
        <f>capital_stock(J2,2, Capitalization)</f>
        <v>320000</v>
      </c>
      <c r="K43">
        <f>capital_stock(K2,2, Capitalization)</f>
        <v>320000</v>
      </c>
      <c r="L43">
        <f>capital_stock(L2,2, Capitalization)</f>
        <v>320000</v>
      </c>
      <c r="M43">
        <f>capital_stock(M2,2, Capitalization)</f>
        <v>320000</v>
      </c>
      <c r="N43">
        <f>capital_stock(N2,2, Capitalization)</f>
        <v>320000</v>
      </c>
      <c r="O43">
        <f>capital_stock(O2,2, Capitalization)</f>
        <v>320000</v>
      </c>
      <c r="P43">
        <f>capital_stock(P2,2, Capitalization)</f>
        <v>320000</v>
      </c>
    </row>
    <row r="44" spans="1:16" x14ac:dyDescent="0.25">
      <c r="C44" t="s">
        <v>253</v>
      </c>
      <c r="E44">
        <f>retained_earnings(E2, EBITDA, Interest, D44)</f>
        <v>-30716.980000000003</v>
      </c>
      <c r="F44">
        <f>retained_earnings(F2, EBITDA, Interest, E44)</f>
        <v>-61469.820000000007</v>
      </c>
      <c r="G44">
        <f>retained_earnings(G2, EBITDA, Interest, F44)</f>
        <v>-92278.510000000024</v>
      </c>
      <c r="H44">
        <f>retained_earnings(H2, EBITDA, Interest, G44)</f>
        <v>-123173.03000000001</v>
      </c>
      <c r="I44">
        <f>retained_earnings(I2, EBITDA, Interest, H44)</f>
        <v>-154173.36000000002</v>
      </c>
      <c r="J44">
        <f>retained_earnings(J2, EBITDA, Interest, I44)</f>
        <v>-185309.48000000004</v>
      </c>
      <c r="K44">
        <f>retained_earnings(K2, EBITDA, Interest, J44)</f>
        <v>-237683.89000000004</v>
      </c>
      <c r="L44">
        <f>retained_earnings(L2, EBITDA, Interest, K44)</f>
        <v>-290244.06</v>
      </c>
      <c r="M44">
        <f>retained_earnings(M2, EBITDA, Interest, L44)</f>
        <v>-342972.48000000004</v>
      </c>
      <c r="N44">
        <f>retained_earnings(N2, EBITDA, Interest, M44)</f>
        <v>-395936.62000000005</v>
      </c>
      <c r="O44">
        <f>retained_earnings(O2, EBITDA, Interest, N44)</f>
        <v>-449118.98000000004</v>
      </c>
      <c r="P44">
        <f>retained_earnings(P2, EBITDA, Interest, O44)</f>
        <v>-502587.02</v>
      </c>
    </row>
    <row r="45" spans="1:16" x14ac:dyDescent="0.25">
      <c r="B45" t="s">
        <v>254</v>
      </c>
      <c r="E45">
        <f t="shared" ref="E45:P45" si="5">SUM(E42:E44)</f>
        <v>129283.01999999999</v>
      </c>
      <c r="F45">
        <f t="shared" si="5"/>
        <v>258530.18</v>
      </c>
      <c r="G45">
        <f t="shared" si="5"/>
        <v>227721.49</v>
      </c>
      <c r="H45">
        <f t="shared" si="5"/>
        <v>196826.96999999997</v>
      </c>
      <c r="I45">
        <f t="shared" si="5"/>
        <v>165826.63999999998</v>
      </c>
      <c r="J45">
        <f t="shared" si="5"/>
        <v>134690.51999999996</v>
      </c>
      <c r="K45">
        <f t="shared" si="5"/>
        <v>82316.109999999957</v>
      </c>
      <c r="L45">
        <f t="shared" si="5"/>
        <v>29755.940000000002</v>
      </c>
      <c r="M45">
        <f t="shared" si="5"/>
        <v>-22972.48000000004</v>
      </c>
      <c r="N45">
        <f t="shared" si="5"/>
        <v>-75936.620000000054</v>
      </c>
      <c r="O45">
        <f t="shared" si="5"/>
        <v>-129118.98000000004</v>
      </c>
      <c r="P45">
        <f t="shared" si="5"/>
        <v>-182587.02000000002</v>
      </c>
    </row>
    <row r="47" spans="1:16" x14ac:dyDescent="0.25">
      <c r="A47" t="s">
        <v>255</v>
      </c>
      <c r="E47">
        <f t="shared" ref="E47:P47" si="6">E40+E45</f>
        <v>544771.02</v>
      </c>
      <c r="F47">
        <f t="shared" si="6"/>
        <v>674432.80330000003</v>
      </c>
      <c r="G47">
        <f t="shared" si="6"/>
        <v>644714.59669999999</v>
      </c>
      <c r="H47">
        <f t="shared" si="6"/>
        <v>615926.40999999992</v>
      </c>
      <c r="I47">
        <f t="shared" si="6"/>
        <v>587708.24340000004</v>
      </c>
      <c r="J47">
        <f t="shared" si="6"/>
        <v>560370.09669999988</v>
      </c>
      <c r="K47">
        <f t="shared" si="6"/>
        <v>512554.41009999998</v>
      </c>
      <c r="L47">
        <f t="shared" si="6"/>
        <v>465483.77340000001</v>
      </c>
      <c r="M47">
        <f t="shared" si="6"/>
        <v>419005.68669999996</v>
      </c>
      <c r="N47">
        <f t="shared" si="6"/>
        <v>373222.56999999995</v>
      </c>
      <c r="O47">
        <f t="shared" si="6"/>
        <v>327981.99329999991</v>
      </c>
      <c r="P47">
        <f t="shared" si="6"/>
        <v>283386.39650000003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8"/>
  <sheetViews>
    <sheetView workbookViewId="0">
      <selection activeCell="S23" sqref="S23"/>
    </sheetView>
  </sheetViews>
  <sheetFormatPr defaultRowHeight="15" x14ac:dyDescent="0.25"/>
  <sheetData>
    <row r="1" spans="1:16" x14ac:dyDescent="0.25">
      <c r="A1" t="s">
        <v>256</v>
      </c>
      <c r="E1" t="s">
        <v>104</v>
      </c>
    </row>
    <row r="2" spans="1:16" x14ac:dyDescent="0.25">
      <c r="E2">
        <v>1</v>
      </c>
      <c r="F2">
        <v>2</v>
      </c>
      <c r="G2">
        <v>3</v>
      </c>
      <c r="H2">
        <v>4</v>
      </c>
      <c r="I2">
        <v>5</v>
      </c>
      <c r="J2">
        <v>6</v>
      </c>
      <c r="K2">
        <v>7</v>
      </c>
      <c r="L2">
        <v>8</v>
      </c>
      <c r="M2">
        <v>9</v>
      </c>
      <c r="N2">
        <v>10</v>
      </c>
      <c r="O2">
        <v>11</v>
      </c>
      <c r="P2">
        <v>12</v>
      </c>
    </row>
    <row r="4" spans="1:16" x14ac:dyDescent="0.25">
      <c r="A4" t="s">
        <v>257</v>
      </c>
      <c r="E4">
        <v>0</v>
      </c>
      <c r="F4">
        <f t="shared" ref="F4:P4" si="0">E36</f>
        <v>450447.70999999996</v>
      </c>
      <c r="G4">
        <f t="shared" si="0"/>
        <v>581486.18329999992</v>
      </c>
      <c r="H4">
        <f t="shared" si="0"/>
        <v>553844.66669999994</v>
      </c>
      <c r="I4">
        <f t="shared" si="0"/>
        <v>528183.16999999993</v>
      </c>
      <c r="J4">
        <f t="shared" si="0"/>
        <v>504641.69339999993</v>
      </c>
      <c r="K4">
        <f t="shared" si="0"/>
        <v>483880.23669999989</v>
      </c>
      <c r="L4">
        <f t="shared" si="0"/>
        <v>419503.72009999992</v>
      </c>
      <c r="M4">
        <f t="shared" si="0"/>
        <v>384202.25339999993</v>
      </c>
      <c r="N4">
        <f t="shared" si="0"/>
        <v>327205.85669999995</v>
      </c>
      <c r="O4">
        <f t="shared" si="0"/>
        <v>274584.42999999993</v>
      </c>
      <c r="P4">
        <f t="shared" si="0"/>
        <v>226568.06329999992</v>
      </c>
    </row>
    <row r="6" spans="1:16" x14ac:dyDescent="0.25">
      <c r="A6" t="s">
        <v>258</v>
      </c>
    </row>
    <row r="7" spans="1:16" x14ac:dyDescent="0.25">
      <c r="B7" t="s">
        <v>259</v>
      </c>
      <c r="E7">
        <f>'P&amp;L'!E4</f>
        <v>160</v>
      </c>
      <c r="F7">
        <f>'P&amp;L'!F4</f>
        <v>800</v>
      </c>
      <c r="G7">
        <f>'P&amp;L'!G4</f>
        <v>1760</v>
      </c>
      <c r="H7">
        <f>'P&amp;L'!H4</f>
        <v>3200</v>
      </c>
      <c r="I7">
        <f>'P&amp;L'!I4</f>
        <v>4960</v>
      </c>
      <c r="J7">
        <f>'P&amp;L'!J4</f>
        <v>7200</v>
      </c>
      <c r="K7">
        <f>'P&amp;L'!K4</f>
        <v>9840</v>
      </c>
      <c r="L7">
        <f>'P&amp;L'!L4</f>
        <v>12880</v>
      </c>
      <c r="M7">
        <f>'P&amp;L'!M4</f>
        <v>16320</v>
      </c>
      <c r="N7">
        <f>'P&amp;L'!N4</f>
        <v>20160</v>
      </c>
      <c r="O7">
        <f>'P&amp;L'!O4</f>
        <v>24400</v>
      </c>
      <c r="P7">
        <f>'P&amp;L'!P4</f>
        <v>29040</v>
      </c>
    </row>
    <row r="8" spans="1:16" x14ac:dyDescent="0.25">
      <c r="B8" t="s">
        <v>260</v>
      </c>
      <c r="E8">
        <f>0-BS!E6</f>
        <v>-160</v>
      </c>
      <c r="F8">
        <f>BS!E6-BS!F6</f>
        <v>-640</v>
      </c>
      <c r="G8">
        <f>BS!F6-BS!G6</f>
        <v>-960</v>
      </c>
      <c r="H8">
        <f>BS!G6-BS!H6</f>
        <v>-1440</v>
      </c>
      <c r="I8">
        <f>BS!H6-BS!I6</f>
        <v>-1760</v>
      </c>
      <c r="J8">
        <f>BS!I6-BS!J6</f>
        <v>-2240</v>
      </c>
      <c r="K8">
        <f>BS!J6-BS!K6</f>
        <v>-2640</v>
      </c>
      <c r="L8">
        <f>BS!K6-BS!L6</f>
        <v>-3040</v>
      </c>
      <c r="M8">
        <f>BS!L6-BS!M6</f>
        <v>-3440</v>
      </c>
      <c r="N8">
        <f>BS!M6-BS!N6</f>
        <v>-3840</v>
      </c>
      <c r="O8">
        <f>BS!N6-BS!O6</f>
        <v>-4240</v>
      </c>
      <c r="P8">
        <f>BS!O6-BS!P6</f>
        <v>-4640</v>
      </c>
    </row>
    <row r="9" spans="1:16" x14ac:dyDescent="0.25">
      <c r="A9" t="s">
        <v>261</v>
      </c>
      <c r="E9">
        <f t="shared" ref="E9:P9" si="1">SUM(E7:E8)</f>
        <v>0</v>
      </c>
      <c r="F9">
        <f t="shared" si="1"/>
        <v>160</v>
      </c>
      <c r="G9">
        <f t="shared" si="1"/>
        <v>800</v>
      </c>
      <c r="H9">
        <f t="shared" si="1"/>
        <v>1760</v>
      </c>
      <c r="I9">
        <f t="shared" si="1"/>
        <v>3200</v>
      </c>
      <c r="J9">
        <f t="shared" si="1"/>
        <v>4960</v>
      </c>
      <c r="K9">
        <f t="shared" si="1"/>
        <v>7200</v>
      </c>
      <c r="L9">
        <f t="shared" si="1"/>
        <v>9840</v>
      </c>
      <c r="M9">
        <f t="shared" si="1"/>
        <v>12880</v>
      </c>
      <c r="N9">
        <f t="shared" si="1"/>
        <v>16320</v>
      </c>
      <c r="O9">
        <f t="shared" si="1"/>
        <v>20160</v>
      </c>
      <c r="P9">
        <f t="shared" si="1"/>
        <v>24400</v>
      </c>
    </row>
    <row r="11" spans="1:16" x14ac:dyDescent="0.25">
      <c r="A11" t="s">
        <v>262</v>
      </c>
    </row>
    <row r="12" spans="1:16" x14ac:dyDescent="0.25">
      <c r="B12" t="s">
        <v>263</v>
      </c>
      <c r="E12">
        <f>find_change_in_bs(E2, FixedAssetRow)</f>
        <v>-30000</v>
      </c>
      <c r="F12">
        <f>find_change_in_bs(F2, FixedAssetRow)</f>
        <v>0</v>
      </c>
      <c r="G12">
        <f>find_change_in_bs(G2, FixedAssetRow)</f>
        <v>0</v>
      </c>
      <c r="H12">
        <f>find_change_in_bs(H2, FixedAssetRow)</f>
        <v>0</v>
      </c>
      <c r="I12">
        <f>find_change_in_bs(I2, FixedAssetRow)</f>
        <v>0</v>
      </c>
      <c r="J12">
        <f>find_change_in_bs(J2, FixedAssetRow)</f>
        <v>0</v>
      </c>
      <c r="K12">
        <f>find_change_in_bs(K2, FixedAssetRow)</f>
        <v>0</v>
      </c>
      <c r="L12">
        <f>find_change_in_bs(L2, FixedAssetRow)</f>
        <v>0</v>
      </c>
      <c r="M12">
        <f>find_change_in_bs(M2, FixedAssetRow)</f>
        <v>0</v>
      </c>
      <c r="N12">
        <f>find_change_in_bs(N2, FixedAssetRow)</f>
        <v>0</v>
      </c>
      <c r="O12">
        <f>find_change_in_bs(O2, FixedAssetRow)</f>
        <v>0</v>
      </c>
      <c r="P12">
        <f>find_change_in_bs(P2, FixedAssetRow)</f>
        <v>0</v>
      </c>
    </row>
    <row r="13" spans="1:16" x14ac:dyDescent="0.25">
      <c r="B13" t="s">
        <v>264</v>
      </c>
    </row>
    <row r="14" spans="1:16" x14ac:dyDescent="0.25">
      <c r="B14" t="s">
        <v>265</v>
      </c>
      <c r="E14">
        <f>0-BS!E8</f>
        <v>-25330</v>
      </c>
      <c r="F14">
        <f>BS!E8-BS!F8</f>
        <v>850</v>
      </c>
      <c r="G14">
        <f>BS!F8-BS!G8</f>
        <v>1870</v>
      </c>
      <c r="H14">
        <f>BS!G8-BS!H8</f>
        <v>3400</v>
      </c>
      <c r="I14">
        <f>BS!H8-BS!I8</f>
        <v>5270</v>
      </c>
      <c r="J14">
        <f>BS!I8-BS!J8</f>
        <v>7650</v>
      </c>
      <c r="K14">
        <f>BS!J8-BS!K8</f>
        <v>-15087.52</v>
      </c>
      <c r="L14">
        <f>BS!K8-BS!L8</f>
        <v>13642.48</v>
      </c>
      <c r="M14">
        <f>BS!L8-BS!M8</f>
        <v>-8245</v>
      </c>
      <c r="N14">
        <f>BS!M8-BS!N8</f>
        <v>-4165</v>
      </c>
      <c r="O14">
        <f>BS!N8-BS!O8</f>
        <v>297.52000000000044</v>
      </c>
      <c r="P14">
        <f>BS!O8-BS!P8</f>
        <v>5227.5200000000004</v>
      </c>
    </row>
    <row r="15" spans="1:16" x14ac:dyDescent="0.25">
      <c r="B15" t="s">
        <v>266</v>
      </c>
      <c r="E15">
        <f>-find_change_in_bs(E2, AccountsPayableRow)</f>
        <v>15488</v>
      </c>
      <c r="F15">
        <f>-find_change_in_bs(F2, AccountsPayableRow)</f>
        <v>1360</v>
      </c>
      <c r="G15">
        <f>-find_change_in_bs(G2, AccountsPayableRow)</f>
        <v>2040</v>
      </c>
      <c r="H15">
        <f>-find_change_in_bs(H2, AccountsPayableRow)</f>
        <v>3060</v>
      </c>
      <c r="I15">
        <f>-find_change_in_bs(I2, AccountsPayableRow)</f>
        <v>3740</v>
      </c>
      <c r="J15">
        <f>-find_change_in_bs(J2, AccountsPayableRow)</f>
        <v>4760</v>
      </c>
      <c r="K15">
        <f>-find_change_in_bs(K2, AccountsPayableRow)</f>
        <v>5524.9599999999991</v>
      </c>
      <c r="L15">
        <f>-find_change_in_bs(L2, AccountsPayableRow)</f>
        <v>6460</v>
      </c>
      <c r="M15">
        <f>-find_change_in_bs(M2, AccountsPayableRow)</f>
        <v>7225.0400000000009</v>
      </c>
      <c r="N15">
        <f>-find_change_in_bs(N2, AccountsPayableRow)</f>
        <v>8160</v>
      </c>
      <c r="O15">
        <f>-find_change_in_bs(O2, AccountsPayableRow)</f>
        <v>8925.0400000000081</v>
      </c>
      <c r="P15">
        <f>-find_change_in_bs(P2, AccountsPayableRow)</f>
        <v>9860</v>
      </c>
    </row>
    <row r="16" spans="1:16" x14ac:dyDescent="0.25">
      <c r="B16" t="s">
        <v>267</v>
      </c>
      <c r="E16">
        <f>-'P&amp;L'!E6</f>
        <v>-170</v>
      </c>
      <c r="F16">
        <f>-'P&amp;L'!F6</f>
        <v>-850</v>
      </c>
      <c r="G16">
        <f>-'P&amp;L'!G6</f>
        <v>-1870</v>
      </c>
      <c r="H16">
        <f>-'P&amp;L'!H6</f>
        <v>-3400</v>
      </c>
      <c r="I16">
        <f>-'P&amp;L'!I6</f>
        <v>-5270</v>
      </c>
      <c r="J16">
        <f>-'P&amp;L'!J6</f>
        <v>-7650</v>
      </c>
      <c r="K16">
        <f>-'P&amp;L'!K6</f>
        <v>-10412.48</v>
      </c>
      <c r="L16">
        <f>-'P&amp;L'!L6</f>
        <v>-13642.48</v>
      </c>
      <c r="M16">
        <f>-'P&amp;L'!M6</f>
        <v>-17255</v>
      </c>
      <c r="N16">
        <f>-'P&amp;L'!N6</f>
        <v>-21335</v>
      </c>
      <c r="O16">
        <f>-'P&amp;L'!O6</f>
        <v>-25797.52</v>
      </c>
      <c r="P16">
        <f>-'P&amp;L'!P6</f>
        <v>-30727.52</v>
      </c>
    </row>
    <row r="17" spans="1:16" x14ac:dyDescent="0.25">
      <c r="B17" t="s">
        <v>101</v>
      </c>
      <c r="E17">
        <f>find_change_in_bs(E2, IntangibleAssets)</f>
        <v>-40000</v>
      </c>
      <c r="F17">
        <f>find_change_in_bs(F2, IntangibleAssets)</f>
        <v>0</v>
      </c>
      <c r="G17">
        <f>find_change_in_bs(G2, IntangibleAssets)</f>
        <v>0</v>
      </c>
      <c r="H17">
        <f>find_change_in_bs(H2, IntangibleAssets)</f>
        <v>0</v>
      </c>
      <c r="I17">
        <f>find_change_in_bs(I2, IntangibleAssets)</f>
        <v>0</v>
      </c>
      <c r="J17">
        <f>find_change_in_bs(J2, IntangibleAssets)</f>
        <v>0</v>
      </c>
      <c r="K17">
        <f>find_change_in_bs(K2, IntangibleAssets)</f>
        <v>0</v>
      </c>
      <c r="L17">
        <f>find_change_in_bs(L2, IntangibleAssets)</f>
        <v>0</v>
      </c>
      <c r="M17">
        <f>find_change_in_bs(M2, IntangibleAssets)</f>
        <v>0</v>
      </c>
      <c r="N17">
        <f>find_change_in_bs(N2, IntangibleAssets)</f>
        <v>0</v>
      </c>
      <c r="O17">
        <f>find_change_in_bs(O2, IntangibleAssets)</f>
        <v>0</v>
      </c>
      <c r="P17">
        <f>find_change_in_bs(P2, IntangibleAssets)</f>
        <v>0</v>
      </c>
    </row>
    <row r="18" spans="1:16" x14ac:dyDescent="0.25">
      <c r="B18" t="s">
        <v>268</v>
      </c>
      <c r="E18">
        <f>-'P&amp;L'!E13</f>
        <v>-21382.980000000003</v>
      </c>
      <c r="F18">
        <f>-'P&amp;L'!F13</f>
        <v>-21382.980000000003</v>
      </c>
      <c r="G18">
        <f>-'P&amp;L'!G13</f>
        <v>-21382.980000000003</v>
      </c>
      <c r="H18">
        <f>-'P&amp;L'!H13</f>
        <v>-21382.980000000003</v>
      </c>
      <c r="I18">
        <f>-'P&amp;L'!I13</f>
        <v>-21382.980000000003</v>
      </c>
      <c r="J18">
        <f>-'P&amp;L'!J13</f>
        <v>-21382.980000000003</v>
      </c>
      <c r="K18">
        <f>-'P&amp;L'!K13</f>
        <v>-42503.02</v>
      </c>
      <c r="L18">
        <f>-'P&amp;L'!L13</f>
        <v>-42503.02</v>
      </c>
      <c r="M18">
        <f>-'P&amp;L'!M13</f>
        <v>-42503.02</v>
      </c>
      <c r="N18">
        <f>-'P&amp;L'!N13</f>
        <v>-42503.02</v>
      </c>
      <c r="O18">
        <f>-'P&amp;L'!O13</f>
        <v>-42503.02</v>
      </c>
      <c r="P18">
        <f>-'P&amp;L'!P13</f>
        <v>-42503.02</v>
      </c>
    </row>
    <row r="19" spans="1:16" x14ac:dyDescent="0.25">
      <c r="B19" t="s">
        <v>223</v>
      </c>
      <c r="E19">
        <f>fixed_expenses(E2, FixedExpPL)</f>
        <v>-7574</v>
      </c>
      <c r="F19">
        <f>fixed_expenses(F2, FixedExpPL)</f>
        <v>-7574</v>
      </c>
      <c r="G19">
        <f>fixed_expenses(G2, FixedExpPL)</f>
        <v>-7574</v>
      </c>
      <c r="H19">
        <f>fixed_expenses(H2, FixedExpPL)</f>
        <v>-7574</v>
      </c>
      <c r="I19">
        <f>fixed_expenses(I2, FixedExpPL)</f>
        <v>-7574</v>
      </c>
      <c r="J19">
        <f>fixed_expenses(J2, FixedExpPL)</f>
        <v>-7574</v>
      </c>
      <c r="K19">
        <f>fixed_expenses(K2, FixedExpPL)</f>
        <v>-7574</v>
      </c>
      <c r="L19">
        <f>fixed_expenses(L2, FixedExpPL)</f>
        <v>-7574</v>
      </c>
      <c r="M19">
        <f>fixed_expenses(M2, FixedExpPL)</f>
        <v>-7574</v>
      </c>
      <c r="N19">
        <f>fixed_expenses(N2, FixedExpPL)</f>
        <v>-7574</v>
      </c>
      <c r="O19">
        <f>fixed_expenses(O2, FixedExpPL)</f>
        <v>-7574</v>
      </c>
      <c r="P19">
        <f>fixed_expenses(P2, FixedExpPL)</f>
        <v>-7574</v>
      </c>
    </row>
    <row r="20" spans="1:16" x14ac:dyDescent="0.25">
      <c r="B20" t="s">
        <v>269</v>
      </c>
    </row>
    <row r="21" spans="1:16" x14ac:dyDescent="0.25">
      <c r="B21" t="s">
        <v>270</v>
      </c>
      <c r="E21">
        <f>-int_amt(E2, Interest)</f>
        <v>-1750</v>
      </c>
      <c r="F21">
        <f>-int_amt(F2, Interest)</f>
        <v>-1745.86</v>
      </c>
      <c r="G21">
        <f>-int_amt(G2, Interest)</f>
        <v>-1741.71</v>
      </c>
      <c r="H21">
        <f>-int_amt(H2, Interest)</f>
        <v>-1737.54</v>
      </c>
      <c r="I21">
        <f>-int_amt(I2, Interest)</f>
        <v>-1733.35</v>
      </c>
      <c r="J21">
        <f>-int_amt(J2, Interest)</f>
        <v>-1729.14</v>
      </c>
      <c r="K21">
        <f>-int_amt(K2, Interest)</f>
        <v>-1724.91</v>
      </c>
      <c r="L21">
        <f>-int_amt(L2, Interest)</f>
        <v>-1720.67</v>
      </c>
      <c r="M21">
        <f>-int_amt(M2, Interest)</f>
        <v>-1716.4</v>
      </c>
      <c r="N21">
        <f>-int_amt(N2, Interest)</f>
        <v>-1712.12</v>
      </c>
      <c r="O21">
        <f>-int_amt(O2, Interest)</f>
        <v>-1707.82</v>
      </c>
      <c r="P21">
        <f>-int_amt(P2, Interest)</f>
        <v>-1703.5</v>
      </c>
    </row>
    <row r="22" spans="1:16" x14ac:dyDescent="0.25">
      <c r="B22" t="s">
        <v>271</v>
      </c>
    </row>
    <row r="23" spans="1:16" x14ac:dyDescent="0.25">
      <c r="A23" t="s">
        <v>272</v>
      </c>
      <c r="E23">
        <f t="shared" ref="E23:P23" si="2">SUM(E11:E22)</f>
        <v>-110718.98000000001</v>
      </c>
      <c r="F23">
        <f t="shared" si="2"/>
        <v>-29342.840000000004</v>
      </c>
      <c r="G23">
        <f t="shared" si="2"/>
        <v>-28658.690000000002</v>
      </c>
      <c r="H23">
        <f t="shared" si="2"/>
        <v>-27634.520000000004</v>
      </c>
      <c r="I23">
        <f t="shared" si="2"/>
        <v>-26950.33</v>
      </c>
      <c r="J23">
        <f t="shared" si="2"/>
        <v>-25926.120000000003</v>
      </c>
      <c r="K23">
        <f t="shared" si="2"/>
        <v>-71776.97</v>
      </c>
      <c r="L23">
        <f t="shared" si="2"/>
        <v>-45337.689999999995</v>
      </c>
      <c r="M23">
        <f t="shared" si="2"/>
        <v>-70068.37999999999</v>
      </c>
      <c r="N23">
        <f t="shared" si="2"/>
        <v>-69129.139999999985</v>
      </c>
      <c r="O23">
        <f t="shared" si="2"/>
        <v>-68359.799999999988</v>
      </c>
      <c r="P23">
        <f t="shared" si="2"/>
        <v>-67420.51999999999</v>
      </c>
    </row>
    <row r="25" spans="1:16" x14ac:dyDescent="0.25">
      <c r="B25" t="s">
        <v>273</v>
      </c>
      <c r="E25">
        <f>find_change_in_bs(E2, AccumAmortization)</f>
        <v>666.68</v>
      </c>
      <c r="F25">
        <f>find_change_in_bs(F2, AccumAmortization)</f>
        <v>666.68</v>
      </c>
      <c r="G25">
        <f>find_change_in_bs(G2, AccumAmortization)</f>
        <v>666.68000000000006</v>
      </c>
      <c r="H25">
        <f>find_change_in_bs(H2, AccumAmortization)</f>
        <v>666.67999999999984</v>
      </c>
      <c r="I25">
        <f>find_change_in_bs(I2, AccumAmortization)</f>
        <v>666.67999999999984</v>
      </c>
      <c r="J25">
        <f>find_change_in_bs(J2, AccumAmortization)</f>
        <v>666.67999999999984</v>
      </c>
      <c r="K25">
        <f>find_change_in_bs(K2, AccumAmortization)</f>
        <v>666.67999999999984</v>
      </c>
      <c r="L25">
        <f>find_change_in_bs(L2, AccumAmortization)</f>
        <v>666.68000000000029</v>
      </c>
      <c r="M25">
        <f>find_change_in_bs(M2, AccumAmortization)</f>
        <v>666.68000000000029</v>
      </c>
      <c r="N25">
        <f>find_change_in_bs(N2, AccumAmortization)</f>
        <v>666.68000000000029</v>
      </c>
      <c r="O25">
        <f>find_change_in_bs(O2, AccumAmortization)</f>
        <v>666.68000000000029</v>
      </c>
      <c r="P25">
        <f>find_change_in_bs(P2, AccumAmortization)</f>
        <v>666.68000000000029</v>
      </c>
    </row>
    <row r="26" spans="1:16" x14ac:dyDescent="0.25">
      <c r="B26" t="s">
        <v>274</v>
      </c>
      <c r="E26">
        <f>find_change_in_bs(E2, AccumDepreciation)</f>
        <v>500.01</v>
      </c>
      <c r="F26">
        <f>find_change_in_bs(F2, AccumDepreciation)</f>
        <v>500.01</v>
      </c>
      <c r="G26">
        <f>find_change_in_bs(G2, AccumDepreciation)</f>
        <v>500.01</v>
      </c>
      <c r="H26">
        <f>find_change_in_bs(H2, AccumDepreciation)</f>
        <v>500.01</v>
      </c>
      <c r="I26">
        <f>find_change_in_bs(I2, AccumDepreciation)</f>
        <v>500.01000000000022</v>
      </c>
      <c r="J26">
        <f>find_change_in_bs(J2, AccumDepreciation)</f>
        <v>500.01000000000022</v>
      </c>
      <c r="K26">
        <f>find_change_in_bs(K2, AccumDepreciation)</f>
        <v>500.01000000000022</v>
      </c>
      <c r="L26">
        <f>find_change_in_bs(L2, AccumDepreciation)</f>
        <v>500.01000000000022</v>
      </c>
      <c r="M26">
        <f>find_change_in_bs(M2, AccumDepreciation)</f>
        <v>500.01000000000022</v>
      </c>
      <c r="N26">
        <f>find_change_in_bs(N2, AccumDepreciation)</f>
        <v>500.01000000000022</v>
      </c>
      <c r="O26">
        <f>find_change_in_bs(O2, AccumDepreciation)</f>
        <v>500.01000000000022</v>
      </c>
      <c r="P26">
        <f>find_change_in_bs(P2, AccumDepreciation)</f>
        <v>500.01000000000022</v>
      </c>
    </row>
    <row r="28" spans="1:16" x14ac:dyDescent="0.25">
      <c r="A28" t="s">
        <v>275</v>
      </c>
      <c r="E28">
        <f t="shared" ref="E28:P28" si="3">E9 + E23 + E25 + E26</f>
        <v>-109552.29000000002</v>
      </c>
      <c r="F28">
        <f t="shared" si="3"/>
        <v>-28016.150000000005</v>
      </c>
      <c r="G28">
        <f t="shared" si="3"/>
        <v>-26692.000000000004</v>
      </c>
      <c r="H28">
        <f t="shared" si="3"/>
        <v>-24707.830000000005</v>
      </c>
      <c r="I28">
        <f t="shared" si="3"/>
        <v>-22583.64</v>
      </c>
      <c r="J28">
        <f t="shared" si="3"/>
        <v>-19799.43</v>
      </c>
      <c r="K28">
        <f t="shared" si="3"/>
        <v>-63410.28</v>
      </c>
      <c r="L28">
        <f t="shared" si="3"/>
        <v>-34330.999999999993</v>
      </c>
      <c r="M28">
        <f t="shared" si="3"/>
        <v>-56021.689999999988</v>
      </c>
      <c r="N28">
        <f t="shared" si="3"/>
        <v>-51642.449999999983</v>
      </c>
      <c r="O28">
        <f t="shared" si="3"/>
        <v>-47033.109999999986</v>
      </c>
      <c r="P28">
        <f t="shared" si="3"/>
        <v>-41853.829999999987</v>
      </c>
    </row>
    <row r="30" spans="1:16" x14ac:dyDescent="0.25">
      <c r="B30" t="s">
        <v>276</v>
      </c>
      <c r="E30">
        <f>-find_change_in_bs(E2, CapitalStock)</f>
        <v>160000</v>
      </c>
      <c r="F30">
        <f>-find_change_in_bs(F2, CapitalStock)</f>
        <v>160000</v>
      </c>
      <c r="G30">
        <f>-find_change_in_bs(G2, CapitalStock)</f>
        <v>0</v>
      </c>
      <c r="H30">
        <f>-find_change_in_bs(H2, CapitalStock)</f>
        <v>0</v>
      </c>
      <c r="I30">
        <f>-find_change_in_bs(I2, CapitalStock)</f>
        <v>0</v>
      </c>
      <c r="J30">
        <f>-find_change_in_bs(J2, CapitalStock)</f>
        <v>0</v>
      </c>
      <c r="K30">
        <f>-find_change_in_bs(K2, CapitalStock)</f>
        <v>0</v>
      </c>
      <c r="L30">
        <f>-find_change_in_bs(L2, CapitalStock)</f>
        <v>0</v>
      </c>
      <c r="M30">
        <f>-find_change_in_bs(M2, CapitalStock)</f>
        <v>0</v>
      </c>
      <c r="N30">
        <f>-find_change_in_bs(N2, CapitalStock)</f>
        <v>0</v>
      </c>
      <c r="O30">
        <f>-find_change_in_bs(O2, CapitalStock)</f>
        <v>0</v>
      </c>
      <c r="P30">
        <f>-find_change_in_bs(P2, CapitalStock)</f>
        <v>0</v>
      </c>
    </row>
    <row r="31" spans="1:16" x14ac:dyDescent="0.25">
      <c r="B31" t="s">
        <v>277</v>
      </c>
      <c r="E31">
        <f>-find_change_in_bs(E2, LoanPayable)</f>
        <v>400000</v>
      </c>
      <c r="F31">
        <f>-find_change_in_bs(F2, LoanPayable)</f>
        <v>-945.37670000002254</v>
      </c>
      <c r="G31">
        <f>-find_change_in_bs(G2, LoanPayable)</f>
        <v>-949.51659999997355</v>
      </c>
      <c r="H31">
        <f>-find_change_in_bs(H2, LoanPayable)</f>
        <v>-953.66670000000158</v>
      </c>
      <c r="I31">
        <f>-find_change_in_bs(I2, LoanPayable)</f>
        <v>-957.83659999998054</v>
      </c>
      <c r="J31">
        <f>-find_change_in_bs(J2, LoanPayable)</f>
        <v>-962.02670000004582</v>
      </c>
      <c r="K31">
        <f>-find_change_in_bs(K2, LoanPayable)</f>
        <v>-966.23660000000382</v>
      </c>
      <c r="L31">
        <f>-find_change_in_bs(L2, LoanPayable)</f>
        <v>-970.46669999998994</v>
      </c>
      <c r="M31">
        <f>-find_change_in_bs(M2, LoanPayable)</f>
        <v>-974.70669999998063</v>
      </c>
      <c r="N31">
        <f>-find_change_in_bs(N2, LoanPayable)</f>
        <v>-978.97669999999925</v>
      </c>
      <c r="O31">
        <f>-find_change_in_bs(O2, LoanPayable)</f>
        <v>-983.25670000002719</v>
      </c>
      <c r="P31">
        <f>-find_change_in_bs(P2, LoanPayable)</f>
        <v>-987.5567999999621</v>
      </c>
    </row>
    <row r="32" spans="1:16" x14ac:dyDescent="0.25">
      <c r="B32" t="s">
        <v>278</v>
      </c>
    </row>
    <row r="33" spans="1:16" x14ac:dyDescent="0.25">
      <c r="B33" t="s">
        <v>279</v>
      </c>
    </row>
    <row r="34" spans="1:16" x14ac:dyDescent="0.25">
      <c r="B34" t="s">
        <v>280</v>
      </c>
    </row>
    <row r="36" spans="1:16" x14ac:dyDescent="0.25">
      <c r="A36" t="s">
        <v>281</v>
      </c>
      <c r="E36">
        <f t="shared" ref="E36:P36" si="4">E4 + SUM(E28:E34)</f>
        <v>450447.70999999996</v>
      </c>
      <c r="F36">
        <f t="shared" si="4"/>
        <v>581486.18329999992</v>
      </c>
      <c r="G36">
        <f t="shared" si="4"/>
        <v>553844.66669999994</v>
      </c>
      <c r="H36">
        <f t="shared" si="4"/>
        <v>528183.16999999993</v>
      </c>
      <c r="I36">
        <f t="shared" si="4"/>
        <v>504641.69339999993</v>
      </c>
      <c r="J36">
        <f t="shared" si="4"/>
        <v>483880.23669999989</v>
      </c>
      <c r="K36">
        <f t="shared" si="4"/>
        <v>419503.72009999992</v>
      </c>
      <c r="L36">
        <f t="shared" si="4"/>
        <v>384202.25339999993</v>
      </c>
      <c r="M36">
        <f t="shared" si="4"/>
        <v>327205.85669999995</v>
      </c>
      <c r="N36">
        <f t="shared" si="4"/>
        <v>274584.42999999993</v>
      </c>
      <c r="O36">
        <f t="shared" si="4"/>
        <v>226568.06329999992</v>
      </c>
      <c r="P36">
        <f t="shared" si="4"/>
        <v>183726.67649999997</v>
      </c>
    </row>
    <row r="38" spans="1:16" x14ac:dyDescent="0.25">
      <c r="A38" t="s">
        <v>249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40</vt:i4>
      </vt:variant>
    </vt:vector>
  </HeadingPairs>
  <TitlesOfParts>
    <vt:vector size="52" baseType="lpstr">
      <vt:lpstr>Notes</vt:lpstr>
      <vt:lpstr>BasicAssumptions</vt:lpstr>
      <vt:lpstr>OperatingAssumptions</vt:lpstr>
      <vt:lpstr>Inventory</vt:lpstr>
      <vt:lpstr>SalesDetail</vt:lpstr>
      <vt:lpstr>CostDetail</vt:lpstr>
      <vt:lpstr>Employees</vt:lpstr>
      <vt:lpstr>AssetSchedule</vt:lpstr>
      <vt:lpstr>LoanSchedule</vt:lpstr>
      <vt:lpstr>P&amp;L</vt:lpstr>
      <vt:lpstr>BS</vt:lpstr>
      <vt:lpstr>CF</vt:lpstr>
      <vt:lpstr>AccountsPayableRow</vt:lpstr>
      <vt:lpstr>AccumAmortization</vt:lpstr>
      <vt:lpstr>AccumDepreciation</vt:lpstr>
      <vt:lpstr>All_Channels</vt:lpstr>
      <vt:lpstr>All_Products</vt:lpstr>
      <vt:lpstr>AllCost</vt:lpstr>
      <vt:lpstr>AllInv</vt:lpstr>
      <vt:lpstr>AllProductCost</vt:lpstr>
      <vt:lpstr>AllProductSales</vt:lpstr>
      <vt:lpstr>AllSales</vt:lpstr>
      <vt:lpstr>Amortization</vt:lpstr>
      <vt:lpstr>Capitalization</vt:lpstr>
      <vt:lpstr>CapitalStock</vt:lpstr>
      <vt:lpstr>Depreciation</vt:lpstr>
      <vt:lpstr>EBITDA</vt:lpstr>
      <vt:lpstr>EmployeeBonus</vt:lpstr>
      <vt:lpstr>FixedAssetRow</vt:lpstr>
      <vt:lpstr>FixedExpenses</vt:lpstr>
      <vt:lpstr>FixedExpPL</vt:lpstr>
      <vt:lpstr>General_Sales_and_Marketing1</vt:lpstr>
      <vt:lpstr>General_Sales_and_Marketing2</vt:lpstr>
      <vt:lpstr>General_Sales_and_Marketing3</vt:lpstr>
      <vt:lpstr>IntangibleAssets</vt:lpstr>
      <vt:lpstr>Interest</vt:lpstr>
      <vt:lpstr>InvAdded</vt:lpstr>
      <vt:lpstr>Loan</vt:lpstr>
      <vt:lpstr>LoanBalance</vt:lpstr>
      <vt:lpstr>LoanPayable</vt:lpstr>
      <vt:lpstr>Overhead1</vt:lpstr>
      <vt:lpstr>Product1</vt:lpstr>
      <vt:lpstr>Product2</vt:lpstr>
      <vt:lpstr>Product3</vt:lpstr>
      <vt:lpstr>Product4</vt:lpstr>
      <vt:lpstr>Research_and_Development1</vt:lpstr>
      <vt:lpstr>Research_and_Development2</vt:lpstr>
      <vt:lpstr>Stores</vt:lpstr>
      <vt:lpstr>TotalEmployeeCost</vt:lpstr>
      <vt:lpstr>TotalInvAddedRow</vt:lpstr>
      <vt:lpstr>Website</vt:lpstr>
      <vt:lpstr>Wholesale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2018-04-10T18:22:53Z</dcterms:modified>
</cp:coreProperties>
</file>